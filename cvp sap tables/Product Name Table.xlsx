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"/>
    </mc:Choice>
  </mc:AlternateContent>
  <xr:revisionPtr revIDLastSave="278" documentId="8_{E5B44508-AFBF-4938-9E0C-9AED294C31EF}" xr6:coauthVersionLast="47" xr6:coauthVersionMax="47" xr10:uidLastSave="{146DA055-1C3B-48A1-9F42-A203B71F54CC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Sheet1!$A$1:$G$75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  <c r="C51" i="1"/>
  <c r="C44" i="1"/>
  <c r="C45" i="1"/>
  <c r="C46" i="1"/>
  <c r="C47" i="1"/>
  <c r="C48" i="1"/>
  <c r="C43" i="1"/>
  <c r="B25" i="1"/>
  <c r="G25" i="1" s="1"/>
  <c r="B26" i="1"/>
  <c r="G26" i="1" s="1"/>
  <c r="B27" i="1"/>
  <c r="G27" i="1" s="1"/>
  <c r="B28" i="1"/>
  <c r="G28" i="1" s="1"/>
  <c r="B24" i="1"/>
  <c r="G24" i="1" s="1"/>
  <c r="G11" i="1"/>
  <c r="B2" i="1"/>
  <c r="G2" i="1" s="1"/>
  <c r="B3" i="1"/>
  <c r="G3" i="1" s="1"/>
  <c r="B4" i="1"/>
  <c r="G4" i="1" s="1"/>
  <c r="B5" i="1"/>
  <c r="G5" i="1" s="1"/>
  <c r="B6" i="1"/>
  <c r="G6" i="1" s="1"/>
  <c r="B7" i="1"/>
  <c r="G7" i="1" s="1"/>
  <c r="B8" i="1"/>
  <c r="G8" i="1" s="1"/>
  <c r="B9" i="1"/>
  <c r="G9" i="1" s="1"/>
  <c r="B10" i="1"/>
  <c r="G10" i="1" s="1"/>
  <c r="B12" i="1"/>
  <c r="G12" i="1" s="1"/>
  <c r="B13" i="1"/>
  <c r="G13" i="1" s="1"/>
  <c r="B14" i="1"/>
  <c r="G14" i="1" s="1"/>
  <c r="B15" i="1"/>
  <c r="G15" i="1" s="1"/>
  <c r="B16" i="1"/>
  <c r="G16" i="1" s="1"/>
  <c r="B17" i="1"/>
  <c r="G17" i="1" s="1"/>
  <c r="B18" i="1"/>
  <c r="G18" i="1" s="1"/>
  <c r="B19" i="1"/>
  <c r="G19" i="1" s="1"/>
  <c r="B20" i="1"/>
  <c r="G20" i="1" s="1"/>
  <c r="B21" i="1"/>
  <c r="G21" i="1" s="1"/>
  <c r="B22" i="1"/>
  <c r="G22" i="1" s="1"/>
  <c r="B23" i="1"/>
  <c r="G23" i="1" s="1"/>
  <c r="B29" i="1"/>
  <c r="G29" i="1" s="1"/>
  <c r="B30" i="1"/>
  <c r="G30" i="1" s="1"/>
  <c r="B31" i="1"/>
  <c r="G31" i="1" s="1"/>
  <c r="B32" i="1"/>
  <c r="G32" i="1" s="1"/>
  <c r="B33" i="1"/>
  <c r="G33" i="1" s="1"/>
  <c r="B34" i="1"/>
  <c r="G34" i="1" s="1"/>
  <c r="B35" i="1"/>
  <c r="G35" i="1" s="1"/>
  <c r="B36" i="1"/>
  <c r="G36" i="1" s="1"/>
  <c r="B37" i="1"/>
  <c r="G37" i="1" s="1"/>
  <c r="B38" i="1"/>
  <c r="G38" i="1" s="1"/>
  <c r="B39" i="1"/>
  <c r="G39" i="1" s="1"/>
  <c r="B40" i="1"/>
  <c r="G40" i="1" s="1"/>
  <c r="B41" i="1"/>
  <c r="G41" i="1" s="1"/>
  <c r="B42" i="1"/>
  <c r="G42" i="1" s="1"/>
  <c r="B43" i="1"/>
  <c r="B44" i="1"/>
  <c r="B45" i="1"/>
  <c r="B46" i="1"/>
  <c r="B47" i="1"/>
  <c r="B48" i="1"/>
  <c r="B49" i="1"/>
  <c r="G49" i="1" s="1"/>
  <c r="B50" i="1"/>
  <c r="G50" i="1" s="1"/>
  <c r="B51" i="1"/>
  <c r="B52" i="1"/>
  <c r="B53" i="1"/>
  <c r="B54" i="1"/>
  <c r="B55" i="1"/>
  <c r="B56" i="1"/>
  <c r="B57" i="1"/>
  <c r="G57" i="1" s="1"/>
  <c r="B58" i="1"/>
  <c r="G58" i="1" s="1"/>
  <c r="B59" i="1"/>
  <c r="G59" i="1" s="1"/>
  <c r="B60" i="1"/>
  <c r="G60" i="1" s="1"/>
  <c r="B61" i="1"/>
  <c r="G61" i="1" s="1"/>
  <c r="B62" i="1"/>
  <c r="B63" i="1"/>
  <c r="G63" i="1" s="1"/>
  <c r="B64" i="1"/>
  <c r="G64" i="1" s="1"/>
  <c r="B65" i="1"/>
  <c r="G65" i="1" s="1"/>
  <c r="B66" i="1"/>
  <c r="G66" i="1" s="1"/>
  <c r="B67" i="1"/>
  <c r="G67" i="1" s="1"/>
  <c r="B68" i="1"/>
  <c r="G68" i="1" s="1"/>
  <c r="B69" i="1"/>
  <c r="G69" i="1" s="1"/>
  <c r="B70" i="1"/>
  <c r="G70" i="1" s="1"/>
  <c r="B71" i="1"/>
  <c r="G71" i="1" s="1"/>
  <c r="B72" i="1"/>
  <c r="G72" i="1" s="1"/>
  <c r="B73" i="1"/>
  <c r="G73" i="1" s="1"/>
  <c r="B74" i="1"/>
  <c r="G74" i="1" s="1"/>
  <c r="B75" i="1"/>
  <c r="G75" i="1" s="1"/>
  <c r="G55" i="1" l="1"/>
  <c r="G54" i="1"/>
  <c r="G62" i="1"/>
  <c r="G56" i="1"/>
  <c r="G51" i="1"/>
  <c r="G47" i="1"/>
  <c r="G48" i="1"/>
  <c r="G46" i="1"/>
  <c r="G45" i="1"/>
  <c r="G44" i="1"/>
  <c r="G52" i="1"/>
  <c r="G53" i="1"/>
  <c r="G43" i="1"/>
</calcChain>
</file>

<file path=xl/sharedStrings.xml><?xml version="1.0" encoding="utf-8"?>
<sst xmlns="http://schemas.openxmlformats.org/spreadsheetml/2006/main" count="251" uniqueCount="139">
  <si>
    <t>Product Name</t>
  </si>
  <si>
    <t>Product Family (Req'd)</t>
  </si>
  <si>
    <t>Circuit Size (Req'd)</t>
  </si>
  <si>
    <t>Description 1 (Optional)</t>
  </si>
  <si>
    <t>Description 2 (Optional)</t>
  </si>
  <si>
    <t>Series (Req'd)</t>
  </si>
  <si>
    <t>Full Product Name</t>
  </si>
  <si>
    <t>98 WAY CKT</t>
  </si>
  <si>
    <t>CKT</t>
  </si>
  <si>
    <t>34668</t>
  </si>
  <si>
    <t>CMX 104 CKT</t>
  </si>
  <si>
    <t>&lt;</t>
  </si>
  <si>
    <t>CMX 120 CKT</t>
  </si>
  <si>
    <t>CMX 32 CKT</t>
  </si>
  <si>
    <t>CMX 32 CKT GENERAL MARKET</t>
  </si>
  <si>
    <t>32</t>
  </si>
  <si>
    <t>General Market</t>
  </si>
  <si>
    <t>CMX 48 CKT</t>
  </si>
  <si>
    <t>48</t>
  </si>
  <si>
    <t>CMX 48 CKT GENERAL MARKET</t>
  </si>
  <si>
    <t>CMX 53 CKT</t>
  </si>
  <si>
    <t>53</t>
  </si>
  <si>
    <t>CMX 70 CKT</t>
  </si>
  <si>
    <t>70</t>
  </si>
  <si>
    <t>CMX-K 120 CKT</t>
  </si>
  <si>
    <t>CMX</t>
  </si>
  <si>
    <t>Korea</t>
  </si>
  <si>
    <t>GPCM 103 CKT</t>
  </si>
  <si>
    <t>34746</t>
  </si>
  <si>
    <t>34973</t>
  </si>
  <si>
    <t>GPCM 95 CKT</t>
  </si>
  <si>
    <t>34992</t>
  </si>
  <si>
    <t>34745</t>
  </si>
  <si>
    <t>34974</t>
  </si>
  <si>
    <t>GPEC 103 CKT</t>
  </si>
  <si>
    <t>34993</t>
  </si>
  <si>
    <t>34975</t>
  </si>
  <si>
    <t>GPEC 95 CKT</t>
  </si>
  <si>
    <t>MINI 50 SEALED DUAL 2X4 CKT</t>
  </si>
  <si>
    <t>2X4</t>
  </si>
  <si>
    <t xml:space="preserve">DUAL </t>
  </si>
  <si>
    <t>MINI 50 SEALED DUAL 2X8 CKT</t>
  </si>
  <si>
    <t>2X8</t>
  </si>
  <si>
    <t>34894</t>
  </si>
  <si>
    <t>MINI 50 SEALED SINGLE 1X10 CKT</t>
  </si>
  <si>
    <t>1X10</t>
  </si>
  <si>
    <t>SINGLE</t>
  </si>
  <si>
    <t>34967</t>
  </si>
  <si>
    <t>MINI 50 SEALED SINGLE 1X2 CKT</t>
  </si>
  <si>
    <t>1X2</t>
  </si>
  <si>
    <t>MINI 50 SEALED SINGLE 1X4 CKT</t>
  </si>
  <si>
    <t>1X4</t>
  </si>
  <si>
    <t>MX123 18 CKT</t>
  </si>
  <si>
    <t>34851</t>
  </si>
  <si>
    <t>MX123 18 CKT WDC</t>
  </si>
  <si>
    <t>WDC</t>
  </si>
  <si>
    <t>216745</t>
  </si>
  <si>
    <t>MX123 49 CKT</t>
  </si>
  <si>
    <t>34576</t>
  </si>
  <si>
    <t>MX123 49 CKT WDC</t>
  </si>
  <si>
    <t>216744</t>
  </si>
  <si>
    <t>MX123 56 CKT</t>
  </si>
  <si>
    <t>MX123 56 CKT WDC</t>
  </si>
  <si>
    <t>216742</t>
  </si>
  <si>
    <t>MX123 66 CKT</t>
  </si>
  <si>
    <t>34822</t>
  </si>
  <si>
    <t>MX123 66 CKT WDC</t>
  </si>
  <si>
    <t>216741</t>
  </si>
  <si>
    <t>MX123 73 CKT</t>
  </si>
  <si>
    <t>34566</t>
  </si>
  <si>
    <t>MX123 73 CKT WDC</t>
  </si>
  <si>
    <t>216739</t>
  </si>
  <si>
    <t>MX123 80 CKT</t>
  </si>
  <si>
    <t>MX123 80 CKT WDC</t>
  </si>
  <si>
    <t>216738</t>
  </si>
  <si>
    <t>MX150 BLD 16W HYBRID 2.8 BLOCKED</t>
  </si>
  <si>
    <t>16w HYBRID</t>
  </si>
  <si>
    <t>BLD</t>
  </si>
  <si>
    <t>2.8 BLOCKED</t>
  </si>
  <si>
    <t>34986</t>
  </si>
  <si>
    <t>MX150 BLD 16W HYBRID 2.8 OPEN</t>
  </si>
  <si>
    <t>2.8 OPEN</t>
  </si>
  <si>
    <t>MX150 BLD 2X10</t>
  </si>
  <si>
    <t>MX150 BLD 2X2</t>
  </si>
  <si>
    <t>MX150 BLD 2X3</t>
  </si>
  <si>
    <t>33482</t>
  </si>
  <si>
    <t>MX150 BLD 2X4</t>
  </si>
  <si>
    <t>MX150 BLD 2X6</t>
  </si>
  <si>
    <t>MX150 BLD 2X8</t>
  </si>
  <si>
    <t>MX150 RCPT 16W HYBRID 2.8 BLOCKED</t>
  </si>
  <si>
    <t>RCPT</t>
  </si>
  <si>
    <t>34985</t>
  </si>
  <si>
    <t>MX150 RCPT 16W HYBRID 2.8 OPEN</t>
  </si>
  <si>
    <t>MX150 RCPT 2X10</t>
  </si>
  <si>
    <t>33472</t>
  </si>
  <si>
    <t>MX150 RCPT 2X2</t>
  </si>
  <si>
    <t>MX150 RCPT 2X3</t>
  </si>
  <si>
    <t>MX150 RCPT 2X4</t>
  </si>
  <si>
    <t>MX150 RCPT 2X6</t>
  </si>
  <si>
    <t>MX150 RCPT 2X8</t>
  </si>
  <si>
    <t>MX64 31402 1X6 CKT</t>
  </si>
  <si>
    <t>1X6</t>
  </si>
  <si>
    <t>31402</t>
  </si>
  <si>
    <t>MX64 31403 1X6 CKT</t>
  </si>
  <si>
    <t>31403</t>
  </si>
  <si>
    <t>MX64 31404 1X6 CKT</t>
  </si>
  <si>
    <t>31404</t>
  </si>
  <si>
    <t>MX64 31404 1X8 CKT</t>
  </si>
  <si>
    <t>1X8</t>
  </si>
  <si>
    <t>MX64 34975 1X6 CKT</t>
  </si>
  <si>
    <t>MXDASH 10+1+1 BLD</t>
  </si>
  <si>
    <t>10+1+1</t>
  </si>
  <si>
    <t>300159</t>
  </si>
  <si>
    <t>MXDASH 10+1+1 HYBRID RCPT</t>
  </si>
  <si>
    <t>RCPT HYBRID</t>
  </si>
  <si>
    <t>MXDASH 10+2 BLD HYBRID</t>
  </si>
  <si>
    <t>10+2</t>
  </si>
  <si>
    <t>MXDASH 10+2 HYBRID RCPT</t>
  </si>
  <si>
    <t>300091</t>
  </si>
  <si>
    <t>MXDASH 15+1 BLD</t>
  </si>
  <si>
    <t>15+1</t>
  </si>
  <si>
    <t>218343</t>
  </si>
  <si>
    <t>MXDASH 15+1 RCPT</t>
  </si>
  <si>
    <t>MXGENV 118W CKT</t>
  </si>
  <si>
    <t>118w</t>
  </si>
  <si>
    <t>MXGENV 93W CKT</t>
  </si>
  <si>
    <t>93w</t>
  </si>
  <si>
    <t>RCM 30 CKT</t>
  </si>
  <si>
    <t>34712</t>
  </si>
  <si>
    <t>RCM 40 CKT</t>
  </si>
  <si>
    <t>202840</t>
  </si>
  <si>
    <t>RCM 60 CKT</t>
  </si>
  <si>
    <t>34713</t>
  </si>
  <si>
    <t>RCM 80 CKT</t>
  </si>
  <si>
    <t>202841</t>
  </si>
  <si>
    <t>SDC 56 CKT</t>
  </si>
  <si>
    <t>160099</t>
  </si>
  <si>
    <t>SDC 56 CKT WDC</t>
  </si>
  <si>
    <t>216783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</si>
</sst>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color theme="1"/>
      <name val="Arial"/>
      <family val="2"/>
    </font>
    <font>
      <b/>
      <sz val="10"/>
      <color theme="0"/>
      <name val="Arial"/>
    </font>
    <font>
      <sz val="10"/>
      <color theme="1"/>
      <name val="Arial"/>
    </font>
    <font>
      <strike/>
      <sz val="10"/>
      <color theme="1"/>
      <name val="Arial"/>
      <family val="2"/>
    </font>
    <font>
      <strike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49" fontId="0" fillId="0" borderId="0" xfId="0" applyNumberFormat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30" formatCode="@"/>
      <fill>
        <patternFill patternType="solid">
          <fgColor indexed="64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9150D-9D3D-48CD-9246-46B161A77D3D}" name="Table1" displayName="Table1" ref="A1:G75" totalsRowShown="0" headerRowDxfId="9" dataDxfId="8" tableBorderDxfId="7">
  <autoFilter ref="A1:G75" xr:uid="{F169150D-9D3D-48CD-9246-46B161A77D3D}">
    <filterColumn colId="0">
      <filters>
        <filter val="MXDASH 15+1 RCPT"/>
      </filters>
    </filterColumn>
  </autoFilter>
  <tableColumns count="7">
    <tableColumn id="1" xr3:uid="{CD1C3735-D16F-4271-B252-801D5CDEC170}" name="Product Name" dataDxfId="6"/>
    <tableColumn id="2" xr3:uid="{588A8488-1DC0-4C84-A68D-7EA3944A915A}" name="Product Family (Req'd)" dataDxfId="5">
      <calculatedColumnFormula>_xlfn.TEXTBEFORE(A2," ")</calculatedColumnFormula>
    </tableColumn>
    <tableColumn id="3" xr3:uid="{1E9EB35F-0E5C-4E4F-9C56-8204D3BDD958}" name="Circuit Size (Req'd)" dataDxfId="4"/>
    <tableColumn id="4" xr3:uid="{72CABA7B-8FB4-4DFE-B2F9-34053EF3C03E}" name="Description 1 (Optional)" dataDxfId="3"/>
    <tableColumn id="5" xr3:uid="{131CEBEB-C9ED-4676-971A-189E36F6A914}" name="Description 2 (Optional)" dataDxfId="2"/>
    <tableColumn id="6" xr3:uid="{6539DDD6-AF06-435D-B480-C035F25F2D25}" name="Series (Req'd)" dataDxfId="1"/>
    <tableColumn id="7" xr3:uid="{2CE2C1A4-294E-46B5-85C5-547E32602994}" name="Full Product Name" dataDxfId="0">
      <calculatedColumnFormula>_xlfn.CONCAT(Table1[[#This Row],[Product Family (Req''d)]]," ",Table1[[#This Row],[Circuit Size (Req''d)]]," ",Table1[[#This Row],[Description 1 (Optional)]]," ",Table1[[#This Row],[Description 2 (Optional)]]," ","(",Table1[[#This Row],[Series (Req''d)]],")")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D1" workbookViewId="0">
      <selection activeCell="C90" sqref="C90"/>
    </sheetView>
  </sheetViews>
  <sheetFormatPr defaultRowHeight="13.15"/>
  <cols>
    <col min="1" max="1" width="35" style="1" bestFit="1" customWidth="1"/>
    <col min="2" max="3" width="35" style="8" customWidth="1"/>
    <col min="4" max="4" width="36.5703125" style="8" customWidth="1"/>
    <col min="5" max="5" width="36.5703125" customWidth="1"/>
    <col min="6" max="6" width="35" style="1" customWidth="1"/>
    <col min="7" max="7" width="44.5703125" bestFit="1" customWidth="1"/>
    <col min="9" max="9" width="15.7109375" customWidth="1"/>
    <col min="11" max="11" width="10.42578125" bestFit="1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3" t="s">
        <v>5</v>
      </c>
      <c r="G1" s="5" t="s">
        <v>6</v>
      </c>
    </row>
    <row r="2" spans="1:7" s="19" customFormat="1" hidden="1">
      <c r="A2" s="20" t="s">
        <v>7</v>
      </c>
      <c r="B2" s="21" t="str">
        <f>_xlfn.TEXTBEFORE(A2," ")</f>
        <v>98</v>
      </c>
      <c r="C2" s="21"/>
      <c r="D2" s="21" t="s">
        <v>8</v>
      </c>
      <c r="E2" s="21"/>
      <c r="F2" s="22" t="s">
        <v>9</v>
      </c>
      <c r="G2" s="21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98  CKT  (34668)</v>
      </c>
    </row>
    <row r="3" spans="1:7" hidden="1">
      <c r="A3" s="3" t="s">
        <v>10</v>
      </c>
      <c r="B3" s="7" t="str">
        <f t="shared" ref="B3:B17" si="0">_xlfn.TEXTBEFORE(A3," ")</f>
        <v>CMX</v>
      </c>
      <c r="C3" s="7" t="s">
        <v>11</v>
      </c>
      <c r="D3" s="12" t="s">
        <v>8</v>
      </c>
      <c r="E3" s="7"/>
      <c r="F3" s="11">
        <v>198005</v>
      </c>
      <c r="G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&lt; CKT  (198005)</v>
      </c>
    </row>
    <row r="4" spans="1:7" hidden="1">
      <c r="A4" s="2" t="s">
        <v>12</v>
      </c>
      <c r="B4" s="6" t="str">
        <f t="shared" si="0"/>
        <v>CMX</v>
      </c>
      <c r="C4" s="6">
        <v>120</v>
      </c>
      <c r="D4" s="12" t="s">
        <v>8</v>
      </c>
      <c r="E4" s="6"/>
      <c r="F4" s="10">
        <v>34854</v>
      </c>
      <c r="G4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120 CKT  (34854)</v>
      </c>
    </row>
    <row r="5" spans="1:7" hidden="1">
      <c r="A5" s="3" t="s">
        <v>13</v>
      </c>
      <c r="B5" s="7" t="str">
        <f t="shared" si="0"/>
        <v>CMX</v>
      </c>
      <c r="C5" s="7">
        <v>32</v>
      </c>
      <c r="D5" s="12" t="s">
        <v>8</v>
      </c>
      <c r="E5" s="7"/>
      <c r="F5" s="11">
        <v>34868</v>
      </c>
      <c r="G5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32 CKT  (34868)</v>
      </c>
    </row>
    <row r="6" spans="1:7" hidden="1">
      <c r="A6" s="2" t="s">
        <v>14</v>
      </c>
      <c r="B6" s="6" t="str">
        <f t="shared" si="0"/>
        <v>CMX</v>
      </c>
      <c r="C6" s="6" t="s">
        <v>15</v>
      </c>
      <c r="D6" s="12" t="s">
        <v>8</v>
      </c>
      <c r="E6" s="6" t="s">
        <v>16</v>
      </c>
      <c r="F6" s="10">
        <v>34872</v>
      </c>
      <c r="G6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32 CKT General Market (34872)</v>
      </c>
    </row>
    <row r="7" spans="1:7" hidden="1">
      <c r="A7" s="3" t="s">
        <v>17</v>
      </c>
      <c r="B7" s="7" t="str">
        <f t="shared" si="0"/>
        <v>CMX</v>
      </c>
      <c r="C7" s="7" t="s">
        <v>18</v>
      </c>
      <c r="D7" s="12" t="s">
        <v>8</v>
      </c>
      <c r="E7" s="7"/>
      <c r="F7" s="11">
        <v>34867</v>
      </c>
      <c r="G7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48 CKT  (34867)</v>
      </c>
    </row>
    <row r="8" spans="1:7" hidden="1">
      <c r="A8" s="2" t="s">
        <v>19</v>
      </c>
      <c r="B8" s="6" t="str">
        <f t="shared" si="0"/>
        <v>CMX</v>
      </c>
      <c r="C8" s="6" t="s">
        <v>18</v>
      </c>
      <c r="D8" s="12" t="s">
        <v>8</v>
      </c>
      <c r="E8" s="6" t="s">
        <v>16</v>
      </c>
      <c r="F8" s="10">
        <v>34871</v>
      </c>
      <c r="G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48 CKT General Market (34871)</v>
      </c>
    </row>
    <row r="9" spans="1:7" hidden="1">
      <c r="A9" s="3" t="s">
        <v>20</v>
      </c>
      <c r="B9" s="7" t="str">
        <f t="shared" si="0"/>
        <v>CMX</v>
      </c>
      <c r="C9" s="7" t="s">
        <v>21</v>
      </c>
      <c r="D9" s="12" t="s">
        <v>8</v>
      </c>
      <c r="E9" s="7"/>
      <c r="F9" s="11">
        <v>34866</v>
      </c>
      <c r="G9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53 CKT  (34866)</v>
      </c>
    </row>
    <row r="10" spans="1:7" hidden="1">
      <c r="A10" s="2" t="s">
        <v>22</v>
      </c>
      <c r="B10" s="6" t="str">
        <f t="shared" si="0"/>
        <v>CMX</v>
      </c>
      <c r="C10" s="6" t="s">
        <v>23</v>
      </c>
      <c r="D10" s="12" t="s">
        <v>8</v>
      </c>
      <c r="E10" s="6"/>
      <c r="F10" s="10">
        <v>34853</v>
      </c>
      <c r="G1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70 CKT  (34853)</v>
      </c>
    </row>
    <row r="11" spans="1:7" hidden="1">
      <c r="A11" s="3" t="s">
        <v>24</v>
      </c>
      <c r="B11" s="7" t="s">
        <v>25</v>
      </c>
      <c r="C11" s="7">
        <v>120</v>
      </c>
      <c r="D11" s="12" t="s">
        <v>8</v>
      </c>
      <c r="E11" s="7" t="s">
        <v>26</v>
      </c>
      <c r="F11" s="11">
        <v>206308</v>
      </c>
      <c r="G11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CMX 120 CKT Korea (206308)</v>
      </c>
    </row>
    <row r="12" spans="1:7" hidden="1">
      <c r="A12" s="2" t="s">
        <v>27</v>
      </c>
      <c r="B12" s="6" t="str">
        <f t="shared" si="0"/>
        <v>GPCM</v>
      </c>
      <c r="C12" s="6">
        <v>103</v>
      </c>
      <c r="D12" s="12" t="s">
        <v>8</v>
      </c>
      <c r="E12" s="6"/>
      <c r="F12" s="10">
        <v>34993</v>
      </c>
      <c r="G12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103 CKT  (34993)</v>
      </c>
    </row>
    <row r="13" spans="1:7" hidden="1">
      <c r="A13" s="3" t="s">
        <v>27</v>
      </c>
      <c r="B13" s="7" t="str">
        <f t="shared" si="0"/>
        <v>GPCM</v>
      </c>
      <c r="C13" s="7">
        <v>103</v>
      </c>
      <c r="D13" s="12" t="s">
        <v>8</v>
      </c>
      <c r="E13" s="7"/>
      <c r="F13" s="11" t="s">
        <v>28</v>
      </c>
      <c r="G1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103 CKT  (34746)</v>
      </c>
    </row>
    <row r="14" spans="1:7" hidden="1">
      <c r="A14" s="3" t="s">
        <v>27</v>
      </c>
      <c r="B14" s="7" t="str">
        <f t="shared" si="0"/>
        <v>GPCM</v>
      </c>
      <c r="C14" s="7">
        <v>103</v>
      </c>
      <c r="D14" s="12" t="s">
        <v>8</v>
      </c>
      <c r="E14" s="7"/>
      <c r="F14" s="11" t="s">
        <v>29</v>
      </c>
      <c r="G14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103 CKT  (34973)</v>
      </c>
    </row>
    <row r="15" spans="1:7" hidden="1">
      <c r="A15" s="2" t="s">
        <v>30</v>
      </c>
      <c r="B15" s="6" t="str">
        <f t="shared" si="0"/>
        <v>GPCM</v>
      </c>
      <c r="C15" s="6">
        <v>95</v>
      </c>
      <c r="D15" s="12" t="s">
        <v>8</v>
      </c>
      <c r="E15" s="6"/>
      <c r="F15" s="10" t="s">
        <v>31</v>
      </c>
      <c r="G15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95 CKT  (34992)</v>
      </c>
    </row>
    <row r="16" spans="1:7" hidden="1">
      <c r="A16" s="3" t="s">
        <v>30</v>
      </c>
      <c r="B16" s="7" t="str">
        <f t="shared" si="0"/>
        <v>GPCM</v>
      </c>
      <c r="C16" s="6">
        <v>95</v>
      </c>
      <c r="D16" s="12" t="s">
        <v>8</v>
      </c>
      <c r="E16" s="7"/>
      <c r="F16" s="11" t="s">
        <v>32</v>
      </c>
      <c r="G16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95 CKT  (34745)</v>
      </c>
    </row>
    <row r="17" spans="1:7" hidden="1">
      <c r="A17" s="3" t="s">
        <v>30</v>
      </c>
      <c r="B17" s="7" t="str">
        <f t="shared" si="0"/>
        <v>GPCM</v>
      </c>
      <c r="C17" s="6">
        <v>95</v>
      </c>
      <c r="D17" s="12" t="s">
        <v>8</v>
      </c>
      <c r="E17" s="7"/>
      <c r="F17" s="11" t="s">
        <v>33</v>
      </c>
      <c r="G17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GPCM 95 CKT  (34974)</v>
      </c>
    </row>
    <row r="18" spans="1:7" hidden="1">
      <c r="A18" s="2" t="s">
        <v>34</v>
      </c>
      <c r="B18" s="6" t="str">
        <f t="shared" ref="B18:B20" si="1">_xlfn.TEXTBEFORE(A18," ")</f>
        <v>GPEC</v>
      </c>
      <c r="C18" s="6">
        <v>103</v>
      </c>
      <c r="D18" s="12" t="s">
        <v>8</v>
      </c>
      <c r="E18" s="6"/>
      <c r="F18" s="10" t="s">
        <v>35</v>
      </c>
      <c r="G1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103 CKT  (34993)</v>
      </c>
    </row>
    <row r="19" spans="1:7" hidden="1">
      <c r="A19" s="3" t="s">
        <v>34</v>
      </c>
      <c r="B19" s="7" t="str">
        <f t="shared" si="1"/>
        <v>GPEC</v>
      </c>
      <c r="C19" s="6">
        <v>103</v>
      </c>
      <c r="D19" s="12" t="s">
        <v>8</v>
      </c>
      <c r="E19" s="7"/>
      <c r="F19" s="11" t="s">
        <v>28</v>
      </c>
      <c r="G19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103 CKT  (34746)</v>
      </c>
    </row>
    <row r="20" spans="1:7" hidden="1">
      <c r="A20" s="3" t="s">
        <v>34</v>
      </c>
      <c r="B20" s="7" t="str">
        <f t="shared" si="1"/>
        <v>GPEC</v>
      </c>
      <c r="C20" s="6">
        <v>103</v>
      </c>
      <c r="D20" s="12" t="s">
        <v>8</v>
      </c>
      <c r="E20" s="7"/>
      <c r="F20" s="11" t="s">
        <v>36</v>
      </c>
      <c r="G20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103 CKT  (34975)</v>
      </c>
    </row>
    <row r="21" spans="1:7" hidden="1">
      <c r="A21" s="2" t="s">
        <v>37</v>
      </c>
      <c r="B21" s="6" t="str">
        <f t="shared" ref="B21:B42" si="2">_xlfn.TEXTBEFORE(A21," ")</f>
        <v>GPEC</v>
      </c>
      <c r="C21" s="6">
        <v>95</v>
      </c>
      <c r="D21" s="12" t="s">
        <v>8</v>
      </c>
      <c r="E21" s="6"/>
      <c r="F21" s="10" t="s">
        <v>31</v>
      </c>
      <c r="G21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95 CKT  (34992)</v>
      </c>
    </row>
    <row r="22" spans="1:7" hidden="1">
      <c r="A22" s="3" t="s">
        <v>37</v>
      </c>
      <c r="B22" s="7" t="str">
        <f t="shared" si="2"/>
        <v>GPEC</v>
      </c>
      <c r="C22" s="6">
        <v>95</v>
      </c>
      <c r="D22" s="12" t="s">
        <v>8</v>
      </c>
      <c r="E22" s="7"/>
      <c r="F22" s="11" t="s">
        <v>32</v>
      </c>
      <c r="G22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95 CKT  (34745)</v>
      </c>
    </row>
    <row r="23" spans="1:7" hidden="1">
      <c r="A23" s="3" t="s">
        <v>37</v>
      </c>
      <c r="B23" s="7" t="str">
        <f t="shared" si="2"/>
        <v>GPEC</v>
      </c>
      <c r="C23" s="6">
        <v>95</v>
      </c>
      <c r="D23" s="12" t="s">
        <v>8</v>
      </c>
      <c r="E23" s="7"/>
      <c r="F23" s="11" t="s">
        <v>33</v>
      </c>
      <c r="G2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GPEC 95 CKT  (34974)</v>
      </c>
    </row>
    <row r="24" spans="1:7" hidden="1">
      <c r="A24" s="2" t="s">
        <v>38</v>
      </c>
      <c r="B24" s="6" t="str">
        <f>_xlfn.TEXTBEFORE(A24," ",3)</f>
        <v>MINI 50 SEALED</v>
      </c>
      <c r="C24" s="6" t="s">
        <v>39</v>
      </c>
      <c r="D24" s="6" t="s">
        <v>40</v>
      </c>
      <c r="E24" s="6"/>
      <c r="F24" s="10">
        <v>34894</v>
      </c>
      <c r="G24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MINI 50 SEALED 2X4 DUAL   (34894)</v>
      </c>
    </row>
    <row r="25" spans="1:7" hidden="1">
      <c r="A25" s="3" t="s">
        <v>41</v>
      </c>
      <c r="B25" s="6" t="str">
        <f t="shared" ref="B25:B28" si="3">_xlfn.TEXTBEFORE(A25," ",3)</f>
        <v>MINI 50 SEALED</v>
      </c>
      <c r="C25" s="7" t="s">
        <v>42</v>
      </c>
      <c r="D25" s="7" t="s">
        <v>40</v>
      </c>
      <c r="E25" s="7"/>
      <c r="F25" s="11" t="s">
        <v>43</v>
      </c>
      <c r="G25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MINI 50 SEALED 2X8 DUAL   (34894)</v>
      </c>
    </row>
    <row r="26" spans="1:7" hidden="1">
      <c r="A26" s="2" t="s">
        <v>44</v>
      </c>
      <c r="B26" s="6" t="str">
        <f t="shared" si="3"/>
        <v>MINI 50 SEALED</v>
      </c>
      <c r="C26" s="6" t="s">
        <v>45</v>
      </c>
      <c r="D26" s="6" t="s">
        <v>46</v>
      </c>
      <c r="E26" s="6"/>
      <c r="F26" s="10" t="s">
        <v>47</v>
      </c>
      <c r="G26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MINI 50 SEALED 1X10 SINGLE  (34967)</v>
      </c>
    </row>
    <row r="27" spans="1:7" hidden="1">
      <c r="A27" s="3" t="s">
        <v>48</v>
      </c>
      <c r="B27" s="6" t="str">
        <f t="shared" si="3"/>
        <v>MINI 50 SEALED</v>
      </c>
      <c r="C27" s="7" t="s">
        <v>49</v>
      </c>
      <c r="D27" s="7" t="s">
        <v>46</v>
      </c>
      <c r="E27" s="7"/>
      <c r="F27" s="11" t="s">
        <v>47</v>
      </c>
      <c r="G27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MINI 50 SEALED 1X2 SINGLE  (34967)</v>
      </c>
    </row>
    <row r="28" spans="1:7" hidden="1">
      <c r="A28" s="2" t="s">
        <v>50</v>
      </c>
      <c r="B28" s="6" t="str">
        <f t="shared" si="3"/>
        <v>MINI 50 SEALED</v>
      </c>
      <c r="C28" s="6" t="s">
        <v>51</v>
      </c>
      <c r="D28" s="6" t="s">
        <v>46</v>
      </c>
      <c r="E28" s="6"/>
      <c r="F28" s="10" t="s">
        <v>47</v>
      </c>
      <c r="G2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MINI 50 SEALED 1X4 SINGLE  (34967)</v>
      </c>
    </row>
    <row r="29" spans="1:7" s="19" customFormat="1" hidden="1">
      <c r="A29" s="16" t="s">
        <v>52</v>
      </c>
      <c r="B29" s="17" t="str">
        <f t="shared" si="2"/>
        <v>MX123</v>
      </c>
      <c r="C29" s="17">
        <v>18</v>
      </c>
      <c r="D29" s="17" t="s">
        <v>8</v>
      </c>
      <c r="E29" s="17"/>
      <c r="F29" s="18" t="s">
        <v>53</v>
      </c>
      <c r="G29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18 CKT  (34851)</v>
      </c>
    </row>
    <row r="30" spans="1:7" hidden="1">
      <c r="A30" s="2" t="s">
        <v>54</v>
      </c>
      <c r="B30" s="6" t="str">
        <f t="shared" si="2"/>
        <v>MX123</v>
      </c>
      <c r="C30" s="7">
        <v>18</v>
      </c>
      <c r="D30" s="7" t="s">
        <v>8</v>
      </c>
      <c r="E30" s="6" t="s">
        <v>55</v>
      </c>
      <c r="F30" s="10" t="s">
        <v>56</v>
      </c>
      <c r="G3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18 CKT WDC (216745)</v>
      </c>
    </row>
    <row r="31" spans="1:7" s="19" customFormat="1" hidden="1">
      <c r="A31" s="16" t="s">
        <v>57</v>
      </c>
      <c r="B31" s="17" t="str">
        <f t="shared" si="2"/>
        <v>MX123</v>
      </c>
      <c r="C31" s="17">
        <v>49</v>
      </c>
      <c r="D31" s="17" t="s">
        <v>8</v>
      </c>
      <c r="E31" s="17"/>
      <c r="F31" s="18" t="s">
        <v>58</v>
      </c>
      <c r="G31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49 CKT  (34576)</v>
      </c>
    </row>
    <row r="32" spans="1:7" hidden="1">
      <c r="A32" s="2" t="s">
        <v>59</v>
      </c>
      <c r="B32" s="6" t="str">
        <f t="shared" si="2"/>
        <v>MX123</v>
      </c>
      <c r="C32" s="6">
        <v>49</v>
      </c>
      <c r="D32" s="7" t="s">
        <v>8</v>
      </c>
      <c r="E32" s="6" t="s">
        <v>55</v>
      </c>
      <c r="F32" s="10" t="s">
        <v>60</v>
      </c>
      <c r="G32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49 CKT WDC (216744)</v>
      </c>
    </row>
    <row r="33" spans="1:7" s="19" customFormat="1" hidden="1">
      <c r="A33" s="16" t="s">
        <v>61</v>
      </c>
      <c r="B33" s="17" t="str">
        <f t="shared" si="2"/>
        <v>MX123</v>
      </c>
      <c r="C33" s="17">
        <v>56</v>
      </c>
      <c r="D33" s="17" t="s">
        <v>8</v>
      </c>
      <c r="E33" s="17"/>
      <c r="F33" s="18" t="s">
        <v>58</v>
      </c>
      <c r="G33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56 CKT  (34576)</v>
      </c>
    </row>
    <row r="34" spans="1:7" hidden="1">
      <c r="A34" s="2" t="s">
        <v>62</v>
      </c>
      <c r="B34" s="6" t="str">
        <f t="shared" si="2"/>
        <v>MX123</v>
      </c>
      <c r="C34" s="6">
        <v>56</v>
      </c>
      <c r="D34" s="7" t="s">
        <v>8</v>
      </c>
      <c r="E34" s="6" t="s">
        <v>55</v>
      </c>
      <c r="F34" s="10" t="s">
        <v>63</v>
      </c>
      <c r="G34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56 CKT WDC (216742)</v>
      </c>
    </row>
    <row r="35" spans="1:7" s="19" customFormat="1" hidden="1">
      <c r="A35" s="16" t="s">
        <v>64</v>
      </c>
      <c r="B35" s="17" t="str">
        <f t="shared" si="2"/>
        <v>MX123</v>
      </c>
      <c r="C35" s="17">
        <v>66</v>
      </c>
      <c r="D35" s="17" t="s">
        <v>8</v>
      </c>
      <c r="E35" s="17"/>
      <c r="F35" s="18" t="s">
        <v>65</v>
      </c>
      <c r="G35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66 CKT  (34822)</v>
      </c>
    </row>
    <row r="36" spans="1:7" hidden="1">
      <c r="A36" s="2" t="s">
        <v>66</v>
      </c>
      <c r="B36" s="6" t="str">
        <f t="shared" si="2"/>
        <v>MX123</v>
      </c>
      <c r="C36" s="6">
        <v>66</v>
      </c>
      <c r="D36" s="7" t="s">
        <v>8</v>
      </c>
      <c r="E36" s="6" t="s">
        <v>55</v>
      </c>
      <c r="F36" s="10" t="s">
        <v>67</v>
      </c>
      <c r="G36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66 CKT WDC (216741)</v>
      </c>
    </row>
    <row r="37" spans="1:7" s="19" customFormat="1" hidden="1">
      <c r="A37" s="16" t="s">
        <v>68</v>
      </c>
      <c r="B37" s="17" t="str">
        <f t="shared" si="2"/>
        <v>MX123</v>
      </c>
      <c r="C37" s="17">
        <v>73</v>
      </c>
      <c r="D37" s="17" t="s">
        <v>8</v>
      </c>
      <c r="E37" s="17"/>
      <c r="F37" s="18" t="s">
        <v>69</v>
      </c>
      <c r="G37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73 CKT  (34566)</v>
      </c>
    </row>
    <row r="38" spans="1:7" hidden="1">
      <c r="A38" s="2" t="s">
        <v>70</v>
      </c>
      <c r="B38" s="6" t="str">
        <f t="shared" si="2"/>
        <v>MX123</v>
      </c>
      <c r="C38" s="6">
        <v>73</v>
      </c>
      <c r="D38" s="7" t="s">
        <v>8</v>
      </c>
      <c r="E38" s="6" t="s">
        <v>55</v>
      </c>
      <c r="F38" s="10" t="s">
        <v>71</v>
      </c>
      <c r="G3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73 CKT WDC (216739)</v>
      </c>
    </row>
    <row r="39" spans="1:7" s="19" customFormat="1" hidden="1">
      <c r="A39" s="16" t="s">
        <v>72</v>
      </c>
      <c r="B39" s="17" t="str">
        <f t="shared" si="2"/>
        <v>MX123</v>
      </c>
      <c r="C39" s="17">
        <v>80</v>
      </c>
      <c r="D39" s="17" t="s">
        <v>8</v>
      </c>
      <c r="E39" s="17"/>
      <c r="F39" s="18" t="s">
        <v>69</v>
      </c>
      <c r="G39" s="1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80 CKT  (34566)</v>
      </c>
    </row>
    <row r="40" spans="1:7" hidden="1">
      <c r="A40" s="2" t="s">
        <v>73</v>
      </c>
      <c r="B40" s="6" t="str">
        <f t="shared" si="2"/>
        <v>MX123</v>
      </c>
      <c r="C40" s="6">
        <v>80</v>
      </c>
      <c r="D40" s="7" t="s">
        <v>8</v>
      </c>
      <c r="E40" s="6" t="s">
        <v>55</v>
      </c>
      <c r="F40" s="10" t="s">
        <v>74</v>
      </c>
      <c r="G4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MX123 80 CKT WDC (216738)</v>
      </c>
    </row>
    <row r="41" spans="1:7" hidden="1">
      <c r="A41" s="3" t="s">
        <v>75</v>
      </c>
      <c r="B41" s="7" t="str">
        <f t="shared" si="2"/>
        <v>MX150</v>
      </c>
      <c r="C41" s="7" t="s">
        <v>76</v>
      </c>
      <c r="D41" s="7" t="s">
        <v>77</v>
      </c>
      <c r="E41" s="7" t="s">
        <v>78</v>
      </c>
      <c r="F41" s="11" t="s">
        <v>79</v>
      </c>
      <c r="G41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16w HYBRID BLD 2.8 BLOCKED (34986)</v>
      </c>
    </row>
    <row r="42" spans="1:7" hidden="1">
      <c r="A42" s="2" t="s">
        <v>80</v>
      </c>
      <c r="B42" s="6" t="str">
        <f t="shared" si="2"/>
        <v>MX150</v>
      </c>
      <c r="C42" s="7" t="s">
        <v>76</v>
      </c>
      <c r="D42" s="7" t="s">
        <v>77</v>
      </c>
      <c r="E42" s="9" t="s">
        <v>81</v>
      </c>
      <c r="F42" s="10" t="s">
        <v>79</v>
      </c>
      <c r="G42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16w HYBRID BLD 2.8 OPEN (34986)</v>
      </c>
    </row>
    <row r="43" spans="1:7" hidden="1">
      <c r="A43" s="3" t="s">
        <v>82</v>
      </c>
      <c r="B43" s="7" t="str">
        <f t="shared" ref="B43:B75" si="4">_xlfn.TEXTBEFORE(A43," ")</f>
        <v>MX150</v>
      </c>
      <c r="C43" s="12" t="str">
        <f>_xlfn.TEXTAFTER(Table1[[#This Row],[Product Name]]," ",2)</f>
        <v>2X10</v>
      </c>
      <c r="D43" s="7" t="s">
        <v>77</v>
      </c>
      <c r="E43" s="7"/>
      <c r="F43" s="11">
        <v>33482</v>
      </c>
      <c r="G4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2X10 BLD  (33482)</v>
      </c>
    </row>
    <row r="44" spans="1:7" hidden="1">
      <c r="A44" s="2" t="s">
        <v>83</v>
      </c>
      <c r="B44" s="6" t="str">
        <f t="shared" si="4"/>
        <v>MX150</v>
      </c>
      <c r="C44" s="12" t="str">
        <f>_xlfn.TEXTAFTER(Table1[[#This Row],[Product Name]]," ",2)</f>
        <v>2X2</v>
      </c>
      <c r="D44" s="7" t="s">
        <v>77</v>
      </c>
      <c r="E44" s="6"/>
      <c r="F44" s="10">
        <v>33482</v>
      </c>
      <c r="G44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2X2 BLD  (33482)</v>
      </c>
    </row>
    <row r="45" spans="1:7" hidden="1">
      <c r="A45" s="3" t="s">
        <v>84</v>
      </c>
      <c r="B45" s="7" t="str">
        <f t="shared" si="4"/>
        <v>MX150</v>
      </c>
      <c r="C45" s="12" t="str">
        <f>_xlfn.TEXTAFTER(Table1[[#This Row],[Product Name]]," ",2)</f>
        <v>2X3</v>
      </c>
      <c r="D45" s="7" t="s">
        <v>77</v>
      </c>
      <c r="E45" s="7"/>
      <c r="F45" s="11" t="s">
        <v>85</v>
      </c>
      <c r="G45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2X3 BLD  (33482)</v>
      </c>
    </row>
    <row r="46" spans="1:7" hidden="1">
      <c r="A46" s="2" t="s">
        <v>86</v>
      </c>
      <c r="B46" s="6" t="str">
        <f t="shared" si="4"/>
        <v>MX150</v>
      </c>
      <c r="C46" s="12" t="str">
        <f>_xlfn.TEXTAFTER(Table1[[#This Row],[Product Name]]," ",2)</f>
        <v>2X4</v>
      </c>
      <c r="D46" s="7" t="s">
        <v>77</v>
      </c>
      <c r="E46" s="6"/>
      <c r="F46" s="10" t="s">
        <v>85</v>
      </c>
      <c r="G46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2X4 BLD  (33482)</v>
      </c>
    </row>
    <row r="47" spans="1:7" hidden="1">
      <c r="A47" s="3" t="s">
        <v>87</v>
      </c>
      <c r="B47" s="7" t="str">
        <f t="shared" si="4"/>
        <v>MX150</v>
      </c>
      <c r="C47" s="12" t="str">
        <f>_xlfn.TEXTAFTER(Table1[[#This Row],[Product Name]]," ",2)</f>
        <v>2X6</v>
      </c>
      <c r="D47" s="7" t="s">
        <v>77</v>
      </c>
      <c r="E47" s="7"/>
      <c r="F47" s="11" t="s">
        <v>85</v>
      </c>
      <c r="G47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2X6 BLD  (33482)</v>
      </c>
    </row>
    <row r="48" spans="1:7" hidden="1">
      <c r="A48" s="2" t="s">
        <v>88</v>
      </c>
      <c r="B48" s="6" t="str">
        <f t="shared" si="4"/>
        <v>MX150</v>
      </c>
      <c r="C48" s="12" t="str">
        <f>_xlfn.TEXTAFTER(Table1[[#This Row],[Product Name]]," ",2)</f>
        <v>2X8</v>
      </c>
      <c r="D48" s="7" t="s">
        <v>77</v>
      </c>
      <c r="E48" s="6"/>
      <c r="F48" s="10" t="s">
        <v>85</v>
      </c>
      <c r="G4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2X8 BLD  (33482)</v>
      </c>
    </row>
    <row r="49" spans="1:10" hidden="1">
      <c r="A49" s="3" t="s">
        <v>89</v>
      </c>
      <c r="B49" s="7" t="str">
        <f t="shared" si="4"/>
        <v>MX150</v>
      </c>
      <c r="C49" s="7" t="s">
        <v>76</v>
      </c>
      <c r="D49" s="12" t="s">
        <v>90</v>
      </c>
      <c r="E49" s="12" t="s">
        <v>78</v>
      </c>
      <c r="F49" s="11" t="s">
        <v>91</v>
      </c>
      <c r="G49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16w HYBRID RCPT 2.8 BLOCKED (34985)</v>
      </c>
    </row>
    <row r="50" spans="1:10" hidden="1">
      <c r="A50" s="2" t="s">
        <v>92</v>
      </c>
      <c r="B50" s="6" t="str">
        <f t="shared" si="4"/>
        <v>MX150</v>
      </c>
      <c r="C50" s="7" t="s">
        <v>76</v>
      </c>
      <c r="D50" s="12" t="s">
        <v>90</v>
      </c>
      <c r="E50" s="9" t="s">
        <v>81</v>
      </c>
      <c r="F50" s="10" t="s">
        <v>91</v>
      </c>
      <c r="G5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16w HYBRID RCPT 2.8 OPEN (34985)</v>
      </c>
    </row>
    <row r="51" spans="1:10" hidden="1">
      <c r="A51" s="2" t="s">
        <v>93</v>
      </c>
      <c r="B51" s="6" t="str">
        <f t="shared" si="4"/>
        <v>MX150</v>
      </c>
      <c r="C51" s="12" t="str">
        <f>_xlfn.TEXTAFTER(Table1[[#This Row],[Product Name]]," ",2)</f>
        <v>2X10</v>
      </c>
      <c r="D51" s="12" t="s">
        <v>90</v>
      </c>
      <c r="E51" s="6"/>
      <c r="F51" s="10" t="s">
        <v>94</v>
      </c>
      <c r="G51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2X10 RCPT  (33472)</v>
      </c>
    </row>
    <row r="52" spans="1:10" hidden="1">
      <c r="A52" s="3" t="s">
        <v>95</v>
      </c>
      <c r="B52" s="7" t="str">
        <f t="shared" si="4"/>
        <v>MX150</v>
      </c>
      <c r="C52" s="12" t="str">
        <f>_xlfn.TEXTAFTER(Table1[[#This Row],[Product Name]]," ",2)</f>
        <v>2X2</v>
      </c>
      <c r="D52" s="12" t="s">
        <v>90</v>
      </c>
      <c r="E52" s="7"/>
      <c r="F52" s="11" t="s">
        <v>94</v>
      </c>
      <c r="G52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2X2 RCPT  (33472)</v>
      </c>
    </row>
    <row r="53" spans="1:10" hidden="1">
      <c r="A53" s="2" t="s">
        <v>96</v>
      </c>
      <c r="B53" s="6" t="str">
        <f t="shared" si="4"/>
        <v>MX150</v>
      </c>
      <c r="C53" s="12" t="str">
        <f>_xlfn.TEXTAFTER(Table1[[#This Row],[Product Name]]," ",2)</f>
        <v>2X3</v>
      </c>
      <c r="D53" s="12" t="s">
        <v>90</v>
      </c>
      <c r="E53" s="6"/>
      <c r="F53" s="10" t="s">
        <v>94</v>
      </c>
      <c r="G53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2X3 RCPT  (33472)</v>
      </c>
    </row>
    <row r="54" spans="1:10" hidden="1">
      <c r="A54" s="3" t="s">
        <v>97</v>
      </c>
      <c r="B54" s="7" t="str">
        <f t="shared" si="4"/>
        <v>MX150</v>
      </c>
      <c r="C54" s="12" t="str">
        <f>_xlfn.TEXTAFTER(Table1[[#This Row],[Product Name]]," ",2)</f>
        <v>2X4</v>
      </c>
      <c r="D54" s="12" t="s">
        <v>90</v>
      </c>
      <c r="E54" s="7"/>
      <c r="F54" s="11" t="s">
        <v>94</v>
      </c>
      <c r="G54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2X4 RCPT  (33472)</v>
      </c>
    </row>
    <row r="55" spans="1:10" hidden="1">
      <c r="A55" s="2" t="s">
        <v>98</v>
      </c>
      <c r="B55" s="6" t="str">
        <f t="shared" si="4"/>
        <v>MX150</v>
      </c>
      <c r="C55" s="12" t="str">
        <f>_xlfn.TEXTAFTER(Table1[[#This Row],[Product Name]]," ",2)</f>
        <v>2X6</v>
      </c>
      <c r="D55" s="12" t="s">
        <v>90</v>
      </c>
      <c r="E55" s="6"/>
      <c r="F55" s="10">
        <v>33472</v>
      </c>
      <c r="G55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2X6 RCPT  (33472)</v>
      </c>
    </row>
    <row r="56" spans="1:10" hidden="1">
      <c r="A56" s="3" t="s">
        <v>99</v>
      </c>
      <c r="B56" s="7" t="str">
        <f t="shared" si="4"/>
        <v>MX150</v>
      </c>
      <c r="C56" s="12" t="str">
        <f>_xlfn.TEXTAFTER(Table1[[#This Row],[Product Name]]," ",2)</f>
        <v>2X8</v>
      </c>
      <c r="D56" s="12" t="s">
        <v>90</v>
      </c>
      <c r="E56" s="7"/>
      <c r="F56" s="11" t="s">
        <v>94</v>
      </c>
      <c r="G56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MX150 2X8 RCPT  (33472)</v>
      </c>
      <c r="I56">
        <v>33472</v>
      </c>
      <c r="J56">
        <v>8001</v>
      </c>
    </row>
    <row r="57" spans="1:10" hidden="1">
      <c r="A57" s="3" t="s">
        <v>100</v>
      </c>
      <c r="B57" s="7" t="str">
        <f t="shared" si="4"/>
        <v>MX64</v>
      </c>
      <c r="C57" s="12" t="s">
        <v>101</v>
      </c>
      <c r="D57" s="12" t="s">
        <v>8</v>
      </c>
      <c r="E57" s="7"/>
      <c r="F57" s="11" t="s">
        <v>102</v>
      </c>
      <c r="G57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MX64 1X6 CKT  (31402)</v>
      </c>
    </row>
    <row r="58" spans="1:10" hidden="1">
      <c r="A58" s="2" t="s">
        <v>103</v>
      </c>
      <c r="B58" s="6" t="str">
        <f t="shared" si="4"/>
        <v>MX64</v>
      </c>
      <c r="C58" s="12" t="s">
        <v>101</v>
      </c>
      <c r="D58" s="12" t="s">
        <v>8</v>
      </c>
      <c r="E58" s="6"/>
      <c r="F58" s="10" t="s">
        <v>104</v>
      </c>
      <c r="G5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MX64 1X6 CKT  (31403)</v>
      </c>
    </row>
    <row r="59" spans="1:10" hidden="1">
      <c r="A59" s="3" t="s">
        <v>105</v>
      </c>
      <c r="B59" s="7" t="str">
        <f t="shared" si="4"/>
        <v>MX64</v>
      </c>
      <c r="C59" s="12" t="s">
        <v>101</v>
      </c>
      <c r="D59" s="12" t="s">
        <v>8</v>
      </c>
      <c r="E59" s="7"/>
      <c r="F59" s="11" t="s">
        <v>106</v>
      </c>
      <c r="G59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MX64 1X6 CKT  (31404)</v>
      </c>
    </row>
    <row r="60" spans="1:10" hidden="1">
      <c r="A60" s="2" t="s">
        <v>107</v>
      </c>
      <c r="B60" s="6" t="str">
        <f t="shared" si="4"/>
        <v>MX64</v>
      </c>
      <c r="C60" s="9" t="s">
        <v>108</v>
      </c>
      <c r="D60" s="12" t="s">
        <v>8</v>
      </c>
      <c r="E60" s="6"/>
      <c r="F60" s="10" t="s">
        <v>106</v>
      </c>
      <c r="G6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MX64 1X8 CKT  (31404)</v>
      </c>
    </row>
    <row r="61" spans="1:10" hidden="1">
      <c r="A61" s="3" t="s">
        <v>109</v>
      </c>
      <c r="B61" s="7" t="str">
        <f t="shared" si="4"/>
        <v>MX64</v>
      </c>
      <c r="C61" s="12" t="s">
        <v>101</v>
      </c>
      <c r="D61" s="12" t="s">
        <v>8</v>
      </c>
      <c r="E61" s="7"/>
      <c r="F61" s="11" t="s">
        <v>36</v>
      </c>
      <c r="G61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MX64 1X6 CKT  (34975)</v>
      </c>
    </row>
    <row r="62" spans="1:10" hidden="1">
      <c r="A62" s="2" t="s">
        <v>110</v>
      </c>
      <c r="B62" s="6" t="str">
        <f t="shared" si="4"/>
        <v>MXDASH</v>
      </c>
      <c r="C62" s="12" t="s">
        <v>111</v>
      </c>
      <c r="D62" s="9" t="s">
        <v>77</v>
      </c>
      <c r="E62" s="6"/>
      <c r="F62" s="10" t="s">
        <v>112</v>
      </c>
      <c r="G62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10+1+1 BLD  (300159)</v>
      </c>
    </row>
    <row r="63" spans="1:10" hidden="1">
      <c r="A63" s="3" t="s">
        <v>113</v>
      </c>
      <c r="B63" s="7" t="str">
        <f t="shared" si="4"/>
        <v>MXDASH</v>
      </c>
      <c r="C63" s="12" t="s">
        <v>111</v>
      </c>
      <c r="D63" s="12" t="s">
        <v>114</v>
      </c>
      <c r="E63" s="7"/>
      <c r="F63" s="11">
        <v>300158</v>
      </c>
      <c r="G6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10+1+1 RCPT HYBRID  (300158)</v>
      </c>
    </row>
    <row r="64" spans="1:10" hidden="1">
      <c r="A64" s="2" t="s">
        <v>115</v>
      </c>
      <c r="B64" s="6" t="str">
        <f t="shared" si="4"/>
        <v>MXDASH</v>
      </c>
      <c r="C64" s="9" t="s">
        <v>116</v>
      </c>
      <c r="D64" s="9" t="s">
        <v>77</v>
      </c>
      <c r="E64" s="6"/>
      <c r="F64" s="10">
        <v>300092</v>
      </c>
      <c r="G64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10+2 BLD  (300092)</v>
      </c>
    </row>
    <row r="65" spans="1:7" hidden="1">
      <c r="A65" s="3" t="s">
        <v>117</v>
      </c>
      <c r="B65" s="7" t="str">
        <f t="shared" si="4"/>
        <v>MXDASH</v>
      </c>
      <c r="C65" s="12" t="s">
        <v>116</v>
      </c>
      <c r="D65" s="12" t="s">
        <v>114</v>
      </c>
      <c r="E65" s="7"/>
      <c r="F65" s="11" t="s">
        <v>118</v>
      </c>
      <c r="G65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10+2 RCPT HYBRID  (300091)</v>
      </c>
    </row>
    <row r="66" spans="1:7" hidden="1">
      <c r="A66" s="2" t="s">
        <v>119</v>
      </c>
      <c r="B66" s="6" t="str">
        <f t="shared" si="4"/>
        <v>MXDASH</v>
      </c>
      <c r="C66" s="9" t="s">
        <v>120</v>
      </c>
      <c r="D66" s="9" t="s">
        <v>77</v>
      </c>
      <c r="E66" s="6"/>
      <c r="F66" s="10" t="s">
        <v>121</v>
      </c>
      <c r="G66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15+1 BLD  (218343)</v>
      </c>
    </row>
    <row r="67" spans="1:7">
      <c r="A67" s="2" t="s">
        <v>122</v>
      </c>
      <c r="B67" s="6" t="str">
        <f t="shared" si="4"/>
        <v>MXDASH</v>
      </c>
      <c r="C67" s="9" t="s">
        <v>120</v>
      </c>
      <c r="D67" s="9" t="s">
        <v>90</v>
      </c>
      <c r="E67" s="6"/>
      <c r="F67" s="10">
        <v>218342</v>
      </c>
      <c r="G67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MXDASH 15+1 RCPT  (218342)</v>
      </c>
    </row>
    <row r="68" spans="1:7" hidden="1">
      <c r="A68" s="2" t="s">
        <v>123</v>
      </c>
      <c r="B68" s="6" t="str">
        <f t="shared" si="4"/>
        <v>MXGENV</v>
      </c>
      <c r="C68" s="9" t="s">
        <v>124</v>
      </c>
      <c r="D68" s="6"/>
      <c r="E68" s="6"/>
      <c r="F68" s="10">
        <v>212805</v>
      </c>
      <c r="G68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MXGENV 118w   (212805)</v>
      </c>
    </row>
    <row r="69" spans="1:7" hidden="1">
      <c r="A69" s="3" t="s">
        <v>125</v>
      </c>
      <c r="B69" s="7" t="str">
        <f t="shared" si="4"/>
        <v>MXGENV</v>
      </c>
      <c r="C69" s="12" t="s">
        <v>126</v>
      </c>
      <c r="D69" s="7"/>
      <c r="E69" s="7"/>
      <c r="F69" s="11">
        <v>212806</v>
      </c>
      <c r="G69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MXGENV 93w   (212806)</v>
      </c>
    </row>
    <row r="70" spans="1:7" hidden="1">
      <c r="A70" s="2" t="s">
        <v>127</v>
      </c>
      <c r="B70" s="6" t="str">
        <f t="shared" si="4"/>
        <v>RCM</v>
      </c>
      <c r="C70" s="9">
        <v>30</v>
      </c>
      <c r="D70" s="9" t="s">
        <v>8</v>
      </c>
      <c r="E70" s="6"/>
      <c r="F70" s="10" t="s">
        <v>128</v>
      </c>
      <c r="G70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RCM 30 CKT  (34712)</v>
      </c>
    </row>
    <row r="71" spans="1:7" hidden="1">
      <c r="A71" s="3" t="s">
        <v>129</v>
      </c>
      <c r="B71" s="7" t="str">
        <f t="shared" si="4"/>
        <v>RCM</v>
      </c>
      <c r="C71" s="7">
        <v>40</v>
      </c>
      <c r="D71" s="9" t="s">
        <v>8</v>
      </c>
      <c r="E71" s="7"/>
      <c r="F71" s="11" t="s">
        <v>130</v>
      </c>
      <c r="G71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RCM 40 CKT  (202840)</v>
      </c>
    </row>
    <row r="72" spans="1:7" hidden="1">
      <c r="A72" s="2" t="s">
        <v>131</v>
      </c>
      <c r="B72" s="6" t="str">
        <f t="shared" si="4"/>
        <v>RCM</v>
      </c>
      <c r="C72" s="6">
        <v>60</v>
      </c>
      <c r="D72" s="9" t="s">
        <v>8</v>
      </c>
      <c r="E72" s="6"/>
      <c r="F72" s="10" t="s">
        <v>132</v>
      </c>
      <c r="G72" s="6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RCM 60 CKT  (34713)</v>
      </c>
    </row>
    <row r="73" spans="1:7" hidden="1">
      <c r="A73" s="3" t="s">
        <v>133</v>
      </c>
      <c r="B73" s="7" t="str">
        <f t="shared" si="4"/>
        <v>RCM</v>
      </c>
      <c r="C73" s="7">
        <v>80</v>
      </c>
      <c r="D73" s="9" t="s">
        <v>8</v>
      </c>
      <c r="E73" s="7"/>
      <c r="F73" s="11" t="s">
        <v>134</v>
      </c>
      <c r="G73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RCM 80 CKT  (202841)</v>
      </c>
    </row>
    <row r="74" spans="1:7" hidden="1">
      <c r="A74" s="13" t="s">
        <v>135</v>
      </c>
      <c r="B74" s="14" t="str">
        <f t="shared" si="4"/>
        <v>SDC</v>
      </c>
      <c r="C74" s="14">
        <v>56</v>
      </c>
      <c r="D74" s="14" t="s">
        <v>8</v>
      </c>
      <c r="E74" s="14"/>
      <c r="F74" s="15" t="s">
        <v>136</v>
      </c>
      <c r="G74" s="14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SDC 56 CKT  (160099)</v>
      </c>
    </row>
    <row r="75" spans="1:7" hidden="1">
      <c r="A75" s="3" t="s">
        <v>137</v>
      </c>
      <c r="B75" s="7" t="str">
        <f t="shared" si="4"/>
        <v>SDC</v>
      </c>
      <c r="C75" s="7">
        <v>56</v>
      </c>
      <c r="D75" s="12" t="s">
        <v>8</v>
      </c>
      <c r="E75" s="12" t="s">
        <v>55</v>
      </c>
      <c r="F75" s="11" t="s">
        <v>138</v>
      </c>
      <c r="G75" s="7" t="str">
        <f>_xlfn.CONCAT(Table1[[#This Row],[Product Family (Req''d)]]," ",Table1[[#This Row],[Circuit Size (Req''d)]]," ",Table1[[#This Row],[Description 1 (Optional)]]," ",Table1[[#This Row],[Description 2 (Optional)]]," ","(",Table1[[#This Row],[Series (Req''d)]],")")</f>
        <v>SDC 56 CKT WDC (216783)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D4071-710B-48C4-B757-8117B94DC617}"/>
</file>

<file path=customXml/itemProps2.xml><?xml version="1.0" encoding="utf-8"?>
<ds:datastoreItem xmlns:ds="http://schemas.openxmlformats.org/officeDocument/2006/customXml" ds:itemID="{8129A20D-0E70-4347-A96F-81031E40BFDF}"/>
</file>

<file path=customXml/itemProps3.xml><?xml version="1.0" encoding="utf-8"?>
<ds:datastoreItem xmlns:ds="http://schemas.openxmlformats.org/officeDocument/2006/customXml" ds:itemID="{A15F0E94-7AE6-45FB-BE6C-32CF4A142580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2026-01-30T09:39:13Z</dcterms:created>
  <dcterms:modified xsi:type="dcterms:W3CDTF">2026-06-01T09:09:31Z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