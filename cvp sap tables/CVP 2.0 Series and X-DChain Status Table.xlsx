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kochind.sharepoint.com/sites/CVP2.0/Shared Documents/Dev/CVP SAP Tables/"/>
    </mc:Choice>
  </mc:AlternateContent>
  <xr:revisionPtr revIDLastSave="27" documentId="8_{43E3698F-8C97-4F78-9314-B4D6B41C19B4}" xr6:coauthVersionLast="47" xr6:coauthVersionMax="47" xr10:uidLastSave="{9DF8C852-D406-4C92-A7CD-A3209E684012}"/>
  <bookViews>
    <workbookView xWindow="-108" yWindow="-108" windowWidth="23256" windowHeight="12456" xr2:uid="{00000000-000D-0000-FFFF-FFFF00000000}"/>
  </bookViews>
  <sheets>
    <sheet name="Sales Code for Product Families" sheetId="1" r:id="rId1"/>
    <sheet name="Product Approvers" sheetId="2" r:id="rId2"/>
    <sheet name="SAP Pul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 a="1"/>
  <c r="D15" i="1" s="1"/>
  <c r="D16" i="1" a="1"/>
  <c r="D16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H54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<sst xmlns="http://schemas.openxmlformats.org/spreadsheetml/2006/main" count="577" uniqueCount="117">
  <si>
    <t>Product Family</t>
  </si>
  <si>
    <t>Product Name</t>
  </si>
  <si>
    <t>Sales Code From SAP</t>
  </si>
  <si>
    <t>New Sales Code</t>
  </si>
  <si>
    <t>Approver</t>
  </si>
  <si>
    <t>Column1</t>
  </si>
  <si>
    <t>98WAY</t>
  </si>
  <si>
    <t>98 WAY CKT</t>
  </si>
  <si>
    <t>CMX</t>
  </si>
  <si>
    <t>CMX 104 CKT</t>
  </si>
  <si>
    <t>A7</t>
  </si>
  <si>
    <t>CMX 120 CKT</t>
  </si>
  <si>
    <t>CMX 32 CKT</t>
  </si>
  <si>
    <t>CMX 32 CKT GENERAL MARKET</t>
  </si>
  <si>
    <t>A2</t>
  </si>
  <si>
    <t>CMX 48 CKT</t>
  </si>
  <si>
    <t>CMX 48 CKT GENERAL MARKET</t>
  </si>
  <si>
    <t>CMX 53 CKT</t>
  </si>
  <si>
    <t>CMX 70 CKT</t>
  </si>
  <si>
    <t>CMX-K 120 CKT</t>
  </si>
  <si>
    <t>GPEC/GPCM</t>
  </si>
  <si>
    <t>GPCM 103 CKT</t>
  </si>
  <si>
    <t>GPCM 95 CKT</t>
  </si>
  <si>
    <t>GPEC 103 CKT</t>
  </si>
  <si>
    <t>GPEC 95 CKT</t>
  </si>
  <si>
    <t>MINI50_SLD</t>
  </si>
  <si>
    <t>MINI 50 SEALED DUAL 2X4 CKT</t>
  </si>
  <si>
    <t>MINI 50 SEALED DUAL 2X8 CKT</t>
  </si>
  <si>
    <t>MINI 50 SEALED SINGLE 1X10 CKT</t>
  </si>
  <si>
    <t>MINI 50 SEALED SINGLE 1X4 CKT</t>
  </si>
  <si>
    <t>MX123</t>
  </si>
  <si>
    <t>MX123 18 CKT WDC</t>
  </si>
  <si>
    <t>MX123 49 CKT WDC</t>
  </si>
  <si>
    <t>MX123 56 CKT WDC</t>
  </si>
  <si>
    <t>MX123 66 CKT WDC</t>
  </si>
  <si>
    <t>MX123 73 CKT WDC</t>
  </si>
  <si>
    <t>MX123 80 CKT WDC</t>
  </si>
  <si>
    <t>MX150</t>
  </si>
  <si>
    <t>MX150 BLD 2X10</t>
  </si>
  <si>
    <t>MX150 BLD 2X2</t>
  </si>
  <si>
    <t>MX150 BLD 2X3</t>
  </si>
  <si>
    <t>MX150 BLD 2X4</t>
  </si>
  <si>
    <t>MX150 BLD 2X6</t>
  </si>
  <si>
    <t>MX150 BLD 2X8</t>
  </si>
  <si>
    <t>MX150 RCPT 2X10</t>
  </si>
  <si>
    <t>MX150 RCPT 2X2</t>
  </si>
  <si>
    <t>MX150 RCPT 2X3</t>
  </si>
  <si>
    <t>MX150 RCPT 2X4</t>
  </si>
  <si>
    <t>MX150 RCPT 2X6</t>
  </si>
  <si>
    <t>MX150 RCPT 2X8</t>
  </si>
  <si>
    <t>MX64</t>
  </si>
  <si>
    <t>MX64 31402 1X6 CKT</t>
  </si>
  <si>
    <t>MX64 31403 1X6 CKT</t>
  </si>
  <si>
    <t>MX64 31404 1X6 CKT</t>
  </si>
  <si>
    <t>MX64 31404 1X8 CKT</t>
  </si>
  <si>
    <t>MX64 34975 1X6 CKT</t>
  </si>
  <si>
    <t>MXDASH</t>
  </si>
  <si>
    <t>MXDASH 10+1+1 BLD</t>
  </si>
  <si>
    <t>MXDASH 10+1+1 HYBRID RCPT</t>
  </si>
  <si>
    <t>MXDASH 10+2 BLD HYBRID</t>
  </si>
  <si>
    <t>MXDASH 10+2 HYBRID RCPT</t>
  </si>
  <si>
    <t>MXDASH 15+1 BLD</t>
  </si>
  <si>
    <t>MXDASH 15+1 RCPT</t>
  </si>
  <si>
    <t>MXGENV</t>
  </si>
  <si>
    <t>MXGENV 118W CKT</t>
  </si>
  <si>
    <t>MXGENV 93W CKT</t>
  </si>
  <si>
    <t>RCM</t>
  </si>
  <si>
    <t>RCM 30 CKT</t>
  </si>
  <si>
    <t>RCM 40 CKT</t>
  </si>
  <si>
    <t>RCM 60 CKT</t>
  </si>
  <si>
    <t>RCM 80 CKT</t>
  </si>
  <si>
    <t>SDC56</t>
  </si>
  <si>
    <t>SDC 56 CKT WDC</t>
  </si>
  <si>
    <t>Total</t>
  </si>
  <si>
    <t>Name</t>
  </si>
  <si>
    <t>General Market</t>
  </si>
  <si>
    <t>LBARRETO</t>
  </si>
  <si>
    <t>Lionel Barreto</t>
  </si>
  <si>
    <t>Restricted Customer</t>
  </si>
  <si>
    <t>AMOULFRIS</t>
  </si>
  <si>
    <t>Adil Moulfris</t>
  </si>
  <si>
    <t>Other (See Notes)</t>
  </si>
  <si>
    <t>AJPILL</t>
  </si>
  <si>
    <t>AJ Pill</t>
  </si>
  <si>
    <t>PRITED</t>
  </si>
  <si>
    <t>Michael Ho</t>
  </si>
  <si>
    <t>BRITTC6</t>
  </si>
  <si>
    <t>Bill Dwyer</t>
  </si>
  <si>
    <t>JOHNK11</t>
  </si>
  <si>
    <t>Brett Dibble</t>
  </si>
  <si>
    <t>JOSES45</t>
  </si>
  <si>
    <t>Jose Sifuentes</t>
  </si>
  <si>
    <t>eyang09</t>
  </si>
  <si>
    <t>Eunice Yang</t>
  </si>
  <si>
    <t>Application/Object</t>
  </si>
  <si>
    <t>Parameter Value 2</t>
  </si>
  <si>
    <t>Sales Code for Created CVP Parts</t>
  </si>
  <si>
    <t>Description/Value</t>
  </si>
  <si>
    <t>Created On</t>
  </si>
  <si>
    <t>Created By</t>
  </si>
  <si>
    <t>PDM</t>
  </si>
  <si>
    <t>CVP</t>
  </si>
  <si>
    <t>SALES_STATUS</t>
  </si>
  <si>
    <t>CVP SALES STATUS FOR PRODUCT FAMILY</t>
  </si>
  <si>
    <t>CBALL</t>
  </si>
  <si>
    <t>HHONDA</t>
  </si>
  <si>
    <t>A1</t>
  </si>
  <si>
    <t>A3</t>
  </si>
  <si>
    <t>MINI 50 SEALED SINGLE 1X2 CKT</t>
  </si>
  <si>
    <t>MINI 50 SEALED SINGLE 1X8 CKT</t>
  </si>
  <si>
    <t>MX123 18 CKT</t>
  </si>
  <si>
    <t>MX123 49 CKT</t>
  </si>
  <si>
    <t>MX123 56 CKT</t>
  </si>
  <si>
    <t>MX123 66 CKT</t>
  </si>
  <si>
    <t>MX123 73 CKT</t>
  </si>
  <si>
    <t>MX123 80 CKT</t>
  </si>
  <si>
    <t>SDC 56 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</si>
</sst>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3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indexed="2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506D2-6E48-4B3C-91F1-6A5638C42497}" name="Table1" displayName="Table1" ref="B2:G57" totalsRowCount="1" headerRowDxfId="36" dataDxfId="35" totalsRowDxfId="34" headerRowBorderDxfId="32" tableBorderDxfId="33">
  <autoFilter ref="B2:G56" xr:uid="{84A506D2-6E48-4B3C-91F1-6A5638C42497}">
    <filterColumn colId="0">
      <filters>
        <filter val="MINI50_SLD"/>
      </filters>
    </filterColumn>
  </autoFilter>
  <tableColumns count="6">
    <tableColumn id="2" xr3:uid="{5EF2310C-0642-48B9-BA6E-7EB8CB58D17D}" name="Product Family" dataDxfId="30" totalsRowDxfId="31"/>
    <tableColumn id="1" xr3:uid="{9DC00488-57C8-4BCB-802E-2D87FEB39615}" name="Product Name" totalsRowLabel="Total" dataDxfId="28" totalsRowDxfId="29"/>
    <tableColumn id="5" xr3:uid="{EEF5B056-BE0B-44C6-86D2-DF99FA84C676}" name="Sales Code From SAP" dataDxfId="26" totalsRowDxfId="27">
      <calculatedColumnFormula array="1">_xlfn.XLOOKUP(Table1[[#This Row],[Product Name]],Table14[[#Headers],[#Data],[Product Name]],Table14[[#Headers],[#Data],[Sales Code for Created CVP Parts]])</calculatedColumnFormula>
    </tableColumn>
    <tableColumn id="6" xr3:uid="{9CF0FB69-3843-47AF-8F0C-3F9A6682AADE}" name="New Sales Code" dataDxfId="24" totalsRowDxfId="25"/>
    <tableColumn id="4" xr3:uid="{1475FFD4-A676-46F4-A85C-FDF46F953209}" name="Approver" dataDxfId="22" totalsRowDxfId="23">
      <calculatedColumnFormula>_xlfn.XLOOKUP(Table1[[#This Row],[Product Family]],Table3[Product Family],Table3[Name],"No Approver Listed")</calculatedColumnFormula>
    </tableColumn>
    <tableColumn id="3" xr3:uid="{237E78A8-C93F-4980-B034-323BD0132055}" name="Column1" dataDxfId="20" totalsRow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A08ED1-E66F-42E1-9850-69B5C99B3D27}" name="Table3" displayName="Table3" ref="D2:F12" totalsRowShown="0">
  <autoFilter ref="D2:F12" xr:uid="{76532D9C-DB47-44BA-B388-B376CA0DA8FB}"/>
  <tableColumns count="3">
    <tableColumn id="1" xr3:uid="{B5EE207C-A19C-457D-A363-94AD37A3B550}" name="Product Family"/>
    <tableColumn id="2" xr3:uid="{668BFBE3-BD5F-4B51-A951-BE3FB99E6402}" name="Approver"/>
    <tableColumn id="3" xr3:uid="{A21CE78D-E5AF-4859-A042-171C6A5C8117}" name="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079E4B-B92C-4592-B7FB-6077D35B9CC8}" name="Table14" displayName="Table14" ref="A1:H54" totalsRowCount="1" headerRowDxfId="19" dataDxfId="18" headerRowBorderDxfId="16" tableBorderDxfId="17">
  <autoFilter ref="A1:H53" xr:uid="{5BB1C02B-0D86-4025-B56D-A908EF6CE3D5}"/>
  <tableColumns count="8">
    <tableColumn id="1" xr3:uid="{4C0A88A9-1CCE-4B38-8B53-6CDFDD95FDCE}" name="Application/Object" totalsRowLabel="Total" dataDxfId="14" totalsRowDxfId="15"/>
    <tableColumn id="2" xr3:uid="{B007915D-E04C-4757-9F55-479886C2F26E}" name="Product Name" dataDxfId="12" totalsRowDxfId="13"/>
    <tableColumn id="3" xr3:uid="{8E287159-5F6F-41B1-ABE4-9F878B36BBE2}" name="Parameter Value 2" dataDxfId="10" totalsRowDxfId="11"/>
    <tableColumn id="4" xr3:uid="{C4B1DAF6-712A-4FD7-98C9-9E83EFD91A2E}" name="Sales Code for Created CVP Parts" dataDxfId="8" totalsRowDxfId="9"/>
    <tableColumn id="5" xr3:uid="{0FD6C869-6EAD-4307-9975-107AFA40FE77}" name="Description/Value" dataDxfId="6" totalsRowDxfId="7"/>
    <tableColumn id="6" xr3:uid="{9718E263-89B8-4D69-BCEA-8CA50CD74B9D}" name="Created On" dataDxfId="4" totalsRowDxfId="5"/>
    <tableColumn id="7" xr3:uid="{24E0BF57-E888-4B47-BA0B-7ABA3151DE2C}" name="Created By" dataDxfId="2" totalsRowDxfId="3"/>
    <tableColumn id="8" xr3:uid="{D6DFCCB1-0343-48C0-9539-A252533502AE}" name="PDM" totalsRowFunction="count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7"/>
  <sheetViews>
    <sheetView tabSelected="1" zoomScale="130" zoomScaleNormal="130" workbookViewId="0">
      <selection activeCell="D60" sqref="D60"/>
    </sheetView>
  </sheetViews>
  <sheetFormatPr defaultRowHeight="13.15"/>
  <cols>
    <col min="2" max="2" width="18.85546875" style="1" bestFit="1" customWidth="1"/>
    <col min="3" max="3" width="31.7109375" style="1" bestFit="1" customWidth="1"/>
    <col min="4" max="4" width="31.7109375" style="1" customWidth="1"/>
    <col min="5" max="5" width="23.28515625" style="1" customWidth="1"/>
    <col min="6" max="6" width="28.5703125" style="1" bestFit="1" customWidth="1"/>
    <col min="7" max="7" width="20.42578125" customWidth="1"/>
  </cols>
  <sheetData>
    <row r="2" spans="2:7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hidden="1">
      <c r="B3" s="1" t="s">
        <v>6</v>
      </c>
      <c r="C3" s="1" t="s">
        <v>7</v>
      </c>
      <c r="D3" s="1" t="e" cm="1">
        <f t="array" ref="D3">_xlfn.XLOOKUP(Table1[[#This Row],[Product Name]],Table14[[#Headers],[#Data],[Product Name]],Table14[[#Headers],[#Data],[Sales Code for Created CVP Parts]])</f>
        <v>#N/A</v>
      </c>
      <c r="F3" s="1" t="str">
        <f>_xlfn.XLOOKUP(Table1[[#This Row],[Product Family]],Table3[Product Family],Table3[Name],"No Approver Listed")</f>
        <v>No Approver Listed</v>
      </c>
      <c r="G3" s="1"/>
    </row>
    <row r="4" spans="2:7" hidden="1">
      <c r="B4" s="1" t="s">
        <v>8</v>
      </c>
      <c r="C4" s="1" t="s">
        <v>9</v>
      </c>
      <c r="D4" s="1" t="str" cm="1">
        <f t="array" ref="D4">_xlfn.XLOOKUP(Table1[[#This Row],[Product Name]],Table14[[#Headers],[#Data],[Product Name]],Table14[[#Headers],[#Data],[Sales Code for Created CVP Parts]])</f>
        <v>A7</v>
      </c>
      <c r="E4" s="9" t="s">
        <v>10</v>
      </c>
      <c r="F4" s="1" t="str">
        <f>_xlfn.XLOOKUP(Table1[[#This Row],[Product Family]],Table3[Product Family],Table3[Name],"No Approver Listed")</f>
        <v>Lionel Barreto</v>
      </c>
      <c r="G4" s="1"/>
    </row>
    <row r="5" spans="2:7" hidden="1">
      <c r="B5" s="1" t="s">
        <v>8</v>
      </c>
      <c r="C5" s="1" t="s">
        <v>11</v>
      </c>
      <c r="D5" s="1" t="str" cm="1">
        <f t="array" ref="D5">_xlfn.XLOOKUP(Table1[[#This Row],[Product Name]],Table14[[#Headers],[#Data],[Product Name]],Table14[[#Headers],[#Data],[Sales Code for Created CVP Parts]])</f>
        <v>A7</v>
      </c>
      <c r="E5" s="9" t="s">
        <v>10</v>
      </c>
      <c r="F5" s="1" t="str">
        <f>_xlfn.XLOOKUP(Table1[[#This Row],[Product Family]],Table3[Product Family],Table3[Name],"No Approver Listed")</f>
        <v>Lionel Barreto</v>
      </c>
      <c r="G5" s="1"/>
    </row>
    <row r="6" spans="2:7" hidden="1">
      <c r="B6" s="1" t="s">
        <v>8</v>
      </c>
      <c r="C6" s="1" t="s">
        <v>12</v>
      </c>
      <c r="D6" s="1" t="str" cm="1">
        <f t="array" ref="D6">_xlfn.XLOOKUP(Table1[[#This Row],[Product Name]],Table14[[#Headers],[#Data],[Product Name]],Table14[[#Headers],[#Data],[Sales Code for Created CVP Parts]])</f>
        <v>A7</v>
      </c>
      <c r="E6" s="9" t="s">
        <v>10</v>
      </c>
      <c r="F6" s="1" t="str">
        <f>_xlfn.XLOOKUP(Table1[[#This Row],[Product Family]],Table3[Product Family],Table3[Name],"No Approver Listed")</f>
        <v>Lionel Barreto</v>
      </c>
      <c r="G6" s="1"/>
    </row>
    <row r="7" spans="2:7" hidden="1">
      <c r="B7" s="1" t="s">
        <v>8</v>
      </c>
      <c r="C7" s="1" t="s">
        <v>13</v>
      </c>
      <c r="D7" s="1" t="e" cm="1">
        <f t="array" ref="D7">_xlfn.XLOOKUP(Table1[[#This Row],[Product Name]],Table14[[#Headers],[#Data],[Product Name]],Table14[[#Headers],[#Data],[Sales Code for Created CVP Parts]])</f>
        <v>#N/A</v>
      </c>
      <c r="E7" s="9" t="s">
        <v>14</v>
      </c>
      <c r="F7" s="1" t="str">
        <f>_xlfn.XLOOKUP(Table1[[#This Row],[Product Family]],Table3[Product Family],Table3[Name],"No Approver Listed")</f>
        <v>Lionel Barreto</v>
      </c>
      <c r="G7" s="1"/>
    </row>
    <row r="8" spans="2:7" hidden="1">
      <c r="B8" s="1" t="s">
        <v>8</v>
      </c>
      <c r="C8" s="1" t="s">
        <v>15</v>
      </c>
      <c r="D8" s="1" t="str" cm="1">
        <f t="array" ref="D8">_xlfn.XLOOKUP(Table1[[#This Row],[Product Name]],Table14[[#Headers],[#Data],[Product Name]],Table14[[#Headers],[#Data],[Sales Code for Created CVP Parts]])</f>
        <v>A7</v>
      </c>
      <c r="E8" s="9" t="s">
        <v>10</v>
      </c>
      <c r="F8" s="1" t="str">
        <f>_xlfn.XLOOKUP(Table1[[#This Row],[Product Family]],Table3[Product Family],Table3[Name],"No Approver Listed")</f>
        <v>Lionel Barreto</v>
      </c>
      <c r="G8" s="1"/>
    </row>
    <row r="9" spans="2:7" hidden="1">
      <c r="B9" s="1" t="s">
        <v>8</v>
      </c>
      <c r="C9" s="1" t="s">
        <v>16</v>
      </c>
      <c r="D9" s="1" t="e" cm="1">
        <f t="array" ref="D9">_xlfn.XLOOKUP(Table1[[#This Row],[Product Name]],Table14[[#Headers],[#Data],[Product Name]],Table14[[#Headers],[#Data],[Sales Code for Created CVP Parts]])</f>
        <v>#N/A</v>
      </c>
      <c r="E9" s="9" t="s">
        <v>14</v>
      </c>
      <c r="F9" s="1" t="str">
        <f>_xlfn.XLOOKUP(Table1[[#This Row],[Product Family]],Table3[Product Family],Table3[Name],"No Approver Listed")</f>
        <v>Lionel Barreto</v>
      </c>
      <c r="G9" s="1"/>
    </row>
    <row r="10" spans="2:7" hidden="1">
      <c r="B10" s="1" t="s">
        <v>8</v>
      </c>
      <c r="C10" s="1" t="s">
        <v>17</v>
      </c>
      <c r="D10" s="1" t="str" cm="1">
        <f t="array" ref="D10">_xlfn.XLOOKUP(Table1[[#This Row],[Product Name]],Table14[[#Headers],[#Data],[Product Name]],Table14[[#Headers],[#Data],[Sales Code for Created CVP Parts]])</f>
        <v>A7</v>
      </c>
      <c r="E10" s="9" t="s">
        <v>10</v>
      </c>
      <c r="F10" s="1" t="str">
        <f>_xlfn.XLOOKUP(Table1[[#This Row],[Product Family]],Table3[Product Family],Table3[Name],"No Approver Listed")</f>
        <v>Lionel Barreto</v>
      </c>
      <c r="G10" s="1"/>
    </row>
    <row r="11" spans="2:7" hidden="1">
      <c r="B11" s="1" t="s">
        <v>8</v>
      </c>
      <c r="C11" s="1" t="s">
        <v>18</v>
      </c>
      <c r="D11" s="1" t="str" cm="1">
        <f t="array" ref="D11">_xlfn.XLOOKUP(Table1[[#This Row],[Product Name]],Table14[[#Headers],[#Data],[Product Name]],Table14[[#Headers],[#Data],[Sales Code for Created CVP Parts]])</f>
        <v>A7</v>
      </c>
      <c r="E11" s="9" t="s">
        <v>10</v>
      </c>
      <c r="F11" s="1" t="str">
        <f>_xlfn.XLOOKUP(Table1[[#This Row],[Product Family]],Table3[Product Family],Table3[Name],"No Approver Listed")</f>
        <v>Lionel Barreto</v>
      </c>
      <c r="G11" s="1"/>
    </row>
    <row r="12" spans="2:7" hidden="1">
      <c r="B12" s="1" t="s">
        <v>8</v>
      </c>
      <c r="C12" s="1" t="s">
        <v>19</v>
      </c>
      <c r="D12" s="1" t="str" cm="1">
        <f t="array" ref="D12">_xlfn.XLOOKUP(Table1[[#This Row],[Product Name]],Table14[[#Headers],[#Data],[Product Name]],Table14[[#Headers],[#Data],[Sales Code for Created CVP Parts]])</f>
        <v>A7</v>
      </c>
      <c r="E12" s="9" t="s">
        <v>10</v>
      </c>
      <c r="F12" s="1" t="str">
        <f>_xlfn.XLOOKUP(Table1[[#This Row],[Product Family]],Table3[Product Family],Table3[Name],"No Approver Listed")</f>
        <v>Lionel Barreto</v>
      </c>
      <c r="G12" s="1"/>
    </row>
    <row r="13" spans="2:7" hidden="1">
      <c r="B13" s="1" t="s">
        <v>20</v>
      </c>
      <c r="C13" s="1" t="s">
        <v>21</v>
      </c>
      <c r="D13" s="1" t="str" cm="1">
        <f t="array" ref="D13">_xlfn.XLOOKUP(Table1[[#This Row],[Product Name]],Table14[[#Headers],[#Data],[Product Name]],Table14[[#Headers],[#Data],[Sales Code for Created CVP Parts]])</f>
        <v>A7</v>
      </c>
      <c r="E13" s="9" t="s">
        <v>10</v>
      </c>
      <c r="F13" s="1" t="str">
        <f>_xlfn.XLOOKUP(Table1[[#This Row],[Product Family]],Table3[Product Family],Table3[Name],"No Approver Listed")</f>
        <v>Adil Moulfris</v>
      </c>
      <c r="G13" s="1"/>
    </row>
    <row r="14" spans="2:7" hidden="1">
      <c r="B14" s="1" t="s">
        <v>20</v>
      </c>
      <c r="C14" s="1" t="s">
        <v>22</v>
      </c>
      <c r="D14" s="1" t="str" cm="1">
        <f t="array" ref="D14">_xlfn.XLOOKUP(Table1[[#This Row],[Product Name]],Table14[[#Headers],[#Data],[Product Name]],Table14[[#Headers],[#Data],[Sales Code for Created CVP Parts]])</f>
        <v>A7</v>
      </c>
      <c r="E14" s="9" t="s">
        <v>10</v>
      </c>
      <c r="F14" s="1" t="str">
        <f>_xlfn.XLOOKUP(Table1[[#This Row],[Product Family]],Table3[Product Family],Table3[Name],"No Approver Listed")</f>
        <v>Adil Moulfris</v>
      </c>
      <c r="G14" s="1"/>
    </row>
    <row r="15" spans="2:7" hidden="1">
      <c r="B15" s="1" t="s">
        <v>20</v>
      </c>
      <c r="C15" s="1" t="s">
        <v>23</v>
      </c>
      <c r="D15" s="1" t="str" cm="1">
        <f t="array" ref="D15">_xlfn.XLOOKUP(Table1[[#This Row],[Product Name]],Table14[[#Headers],[#Data],[Product Name]],Table14[[#Headers],[#Data],[Sales Code for Created CVP Parts]])</f>
        <v>A1</v>
      </c>
      <c r="E15" s="9" t="s">
        <v>14</v>
      </c>
      <c r="F15" s="1" t="str">
        <f>_xlfn.XLOOKUP(Table1[[#This Row],[Product Family]],Table3[Product Family],Table3[Name],"No Approver Listed")</f>
        <v>Adil Moulfris</v>
      </c>
      <c r="G15" s="1"/>
    </row>
    <row r="16" spans="2:7" hidden="1">
      <c r="B16" s="1" t="s">
        <v>20</v>
      </c>
      <c r="C16" s="1" t="s">
        <v>24</v>
      </c>
      <c r="D16" s="1" t="str" cm="1">
        <f t="array" ref="D16">_xlfn.XLOOKUP(Table1[[#This Row],[Product Name]],Table14[[#Headers],[#Data],[Product Name]],Table14[[#Headers],[#Data],[Sales Code for Created CVP Parts]])</f>
        <v>A1</v>
      </c>
      <c r="E16" s="9" t="s">
        <v>14</v>
      </c>
      <c r="F16" s="1" t="str">
        <f>_xlfn.XLOOKUP(Table1[[#This Row],[Product Family]],Table3[Product Family],Table3[Name],"No Approver Listed")</f>
        <v>Adil Moulfris</v>
      </c>
      <c r="G16" s="1"/>
    </row>
    <row r="17" spans="2:7">
      <c r="B17" s="1" t="s">
        <v>25</v>
      </c>
      <c r="C17" s="1" t="s">
        <v>26</v>
      </c>
      <c r="D17" s="1" t="str" cm="1">
        <f t="array" ref="D17">_xlfn.XLOOKUP(Table1[[#This Row],[Product Name]],Table14[[#Headers],[#Data],[Product Name]],Table14[[#Headers],[#Data],[Sales Code for Created CVP Parts]])</f>
        <v>A3</v>
      </c>
      <c r="E17" s="9" t="s">
        <v>14</v>
      </c>
      <c r="F17" s="1" t="str">
        <f>_xlfn.XLOOKUP(Table1[[#This Row],[Product Family]],Table3[Product Family],Table3[Name],"No Approver Listed")</f>
        <v>Eunice Yang</v>
      </c>
      <c r="G17" s="1"/>
    </row>
    <row r="18" spans="2:7">
      <c r="B18" s="1" t="s">
        <v>25</v>
      </c>
      <c r="C18" s="1" t="s">
        <v>27</v>
      </c>
      <c r="D18" s="1" t="str" cm="1">
        <f t="array" ref="D18">_xlfn.XLOOKUP(Table1[[#This Row],[Product Name]],Table14[[#Headers],[#Data],[Product Name]],Table14[[#Headers],[#Data],[Sales Code for Created CVP Parts]])</f>
        <v>A3</v>
      </c>
      <c r="E18" s="9" t="s">
        <v>14</v>
      </c>
      <c r="F18" s="1" t="str">
        <f>_xlfn.XLOOKUP(Table1[[#This Row],[Product Family]],Table3[Product Family],Table3[Name],"No Approver Listed")</f>
        <v>Eunice Yang</v>
      </c>
      <c r="G18" s="1"/>
    </row>
    <row r="19" spans="2:7">
      <c r="B19" s="1" t="s">
        <v>25</v>
      </c>
      <c r="C19" s="1" t="s">
        <v>28</v>
      </c>
      <c r="D19" s="1" t="e" cm="1">
        <f t="array" ref="D19">_xlfn.XLOOKUP(Table1[[#This Row],[Product Name]],Table14[[#Headers],[#Data],[Product Name]],Table14[[#Headers],[#Data],[Sales Code for Created CVP Parts]])</f>
        <v>#N/A</v>
      </c>
      <c r="E19" s="9" t="s">
        <v>14</v>
      </c>
      <c r="F19" s="1" t="str">
        <f>_xlfn.XLOOKUP(Table1[[#This Row],[Product Family]],Table3[Product Family],Table3[Name],"No Approver Listed")</f>
        <v>Eunice Yang</v>
      </c>
      <c r="G19" s="1"/>
    </row>
    <row r="20" spans="2:7">
      <c r="B20" s="1" t="s">
        <v>25</v>
      </c>
      <c r="C20" s="1" t="s">
        <v>29</v>
      </c>
      <c r="D20" s="1" t="str" cm="1">
        <f t="array" ref="D20">_xlfn.XLOOKUP(Table1[[#This Row],[Product Name]],Table14[[#Headers],[#Data],[Product Name]],Table14[[#Headers],[#Data],[Sales Code for Created CVP Parts]])</f>
        <v>A3</v>
      </c>
      <c r="E20" s="9" t="s">
        <v>14</v>
      </c>
      <c r="F20" s="1" t="str">
        <f>_xlfn.XLOOKUP(Table1[[#This Row],[Product Family]],Table3[Product Family],Table3[Name],"No Approver Listed")</f>
        <v>Eunice Yang</v>
      </c>
      <c r="G20" s="1"/>
    </row>
    <row r="21" spans="2:7" hidden="1">
      <c r="B21" s="1" t="s">
        <v>30</v>
      </c>
      <c r="C21" s="1" t="s">
        <v>31</v>
      </c>
      <c r="D21" s="1" t="str" cm="1">
        <f t="array" ref="D21">_xlfn.XLOOKUP(Table1[[#This Row],[Product Name]],Table14[[#Headers],[#Data],[Product Name]],Table14[[#Headers],[#Data],[Sales Code for Created CVP Parts]])</f>
        <v>A1</v>
      </c>
      <c r="E21" s="9" t="s">
        <v>14</v>
      </c>
      <c r="F21" s="1" t="str">
        <f>_xlfn.XLOOKUP(Table1[[#This Row],[Product Family]],Table3[Product Family],Table3[Name],"No Approver Listed")</f>
        <v>AJ Pill</v>
      </c>
      <c r="G21" s="1"/>
    </row>
    <row r="22" spans="2:7" hidden="1">
      <c r="B22" s="1" t="s">
        <v>30</v>
      </c>
      <c r="C22" s="1" t="s">
        <v>32</v>
      </c>
      <c r="D22" s="1" t="str" cm="1">
        <f t="array" ref="D22">_xlfn.XLOOKUP(Table1[[#This Row],[Product Name]],Table14[[#Headers],[#Data],[Product Name]],Table14[[#Headers],[#Data],[Sales Code for Created CVP Parts]])</f>
        <v>A1</v>
      </c>
      <c r="E22" s="9" t="s">
        <v>14</v>
      </c>
      <c r="F22" s="1" t="str">
        <f>_xlfn.XLOOKUP(Table1[[#This Row],[Product Family]],Table3[Product Family],Table3[Name],"No Approver Listed")</f>
        <v>AJ Pill</v>
      </c>
      <c r="G22" s="1"/>
    </row>
    <row r="23" spans="2:7" hidden="1">
      <c r="B23" s="1" t="s">
        <v>30</v>
      </c>
      <c r="C23" s="1" t="s">
        <v>33</v>
      </c>
      <c r="D23" s="1" t="str" cm="1">
        <f t="array" ref="D23">_xlfn.XLOOKUP(Table1[[#This Row],[Product Name]],Table14[[#Headers],[#Data],[Product Name]],Table14[[#Headers],[#Data],[Sales Code for Created CVP Parts]])</f>
        <v>A1</v>
      </c>
      <c r="E23" s="9" t="s">
        <v>14</v>
      </c>
      <c r="F23" s="1" t="str">
        <f>_xlfn.XLOOKUP(Table1[[#This Row],[Product Family]],Table3[Product Family],Table3[Name],"No Approver Listed")</f>
        <v>AJ Pill</v>
      </c>
      <c r="G23" s="1"/>
    </row>
    <row r="24" spans="2:7" hidden="1">
      <c r="B24" s="1" t="s">
        <v>30</v>
      </c>
      <c r="C24" s="1" t="s">
        <v>34</v>
      </c>
      <c r="D24" s="1" t="str" cm="1">
        <f t="array" ref="D24">_xlfn.XLOOKUP(Table1[[#This Row],[Product Name]],Table14[[#Headers],[#Data],[Product Name]],Table14[[#Headers],[#Data],[Sales Code for Created CVP Parts]])</f>
        <v>A1</v>
      </c>
      <c r="E24" s="9" t="s">
        <v>14</v>
      </c>
      <c r="F24" s="1" t="str">
        <f>_xlfn.XLOOKUP(Table1[[#This Row],[Product Family]],Table3[Product Family],Table3[Name],"No Approver Listed")</f>
        <v>AJ Pill</v>
      </c>
      <c r="G24" s="1"/>
    </row>
    <row r="25" spans="2:7" hidden="1">
      <c r="B25" s="1" t="s">
        <v>30</v>
      </c>
      <c r="C25" s="1" t="s">
        <v>35</v>
      </c>
      <c r="D25" s="1" t="str" cm="1">
        <f t="array" ref="D25">_xlfn.XLOOKUP(Table1[[#This Row],[Product Name]],Table14[[#Headers],[#Data],[Product Name]],Table14[[#Headers],[#Data],[Sales Code for Created CVP Parts]])</f>
        <v>A1</v>
      </c>
      <c r="E25" s="9" t="s">
        <v>14</v>
      </c>
      <c r="F25" s="1" t="str">
        <f>_xlfn.XLOOKUP(Table1[[#This Row],[Product Family]],Table3[Product Family],Table3[Name],"No Approver Listed")</f>
        <v>AJ Pill</v>
      </c>
      <c r="G25" s="1"/>
    </row>
    <row r="26" spans="2:7" hidden="1">
      <c r="B26" s="1" t="s">
        <v>30</v>
      </c>
      <c r="C26" s="1" t="s">
        <v>36</v>
      </c>
      <c r="D26" s="1" t="str" cm="1">
        <f t="array" ref="D26">_xlfn.XLOOKUP(Table1[[#This Row],[Product Name]],Table14[[#Headers],[#Data],[Product Name]],Table14[[#Headers],[#Data],[Sales Code for Created CVP Parts]])</f>
        <v>A1</v>
      </c>
      <c r="E26" s="9" t="s">
        <v>14</v>
      </c>
      <c r="F26" s="1" t="str">
        <f>_xlfn.XLOOKUP(Table1[[#This Row],[Product Family]],Table3[Product Family],Table3[Name],"No Approver Listed")</f>
        <v>AJ Pill</v>
      </c>
      <c r="G26" s="1"/>
    </row>
    <row r="27" spans="2:7" hidden="1">
      <c r="B27" s="1" t="s">
        <v>37</v>
      </c>
      <c r="C27" s="1" t="s">
        <v>38</v>
      </c>
      <c r="D27" s="1" t="str" cm="1">
        <f t="array" ref="D27">_xlfn.XLOOKUP(Table1[[#This Row],[Product Name]],Table14[[#Headers],[#Data],[Product Name]],Table14[[#Headers],[#Data],[Sales Code for Created CVP Parts]])</f>
        <v>A3</v>
      </c>
      <c r="E27" s="9" t="s">
        <v>14</v>
      </c>
      <c r="F27" s="1" t="str">
        <f>_xlfn.XLOOKUP(Table1[[#This Row],[Product Family]],Table3[Product Family],Table3[Name],"No Approver Listed")</f>
        <v>Michael Ho</v>
      </c>
      <c r="G27" s="1"/>
    </row>
    <row r="28" spans="2:7" hidden="1">
      <c r="B28" s="1" t="s">
        <v>37</v>
      </c>
      <c r="C28" s="1" t="s">
        <v>39</v>
      </c>
      <c r="D28" s="1" t="str" cm="1">
        <f t="array" ref="D28">_xlfn.XLOOKUP(Table1[[#This Row],[Product Name]],Table14[[#Headers],[#Data],[Product Name]],Table14[[#Headers],[#Data],[Sales Code for Created CVP Parts]])</f>
        <v>A3</v>
      </c>
      <c r="E28" s="9" t="s">
        <v>14</v>
      </c>
      <c r="F28" s="1" t="str">
        <f>_xlfn.XLOOKUP(Table1[[#This Row],[Product Family]],Table3[Product Family],Table3[Name],"No Approver Listed")</f>
        <v>Michael Ho</v>
      </c>
      <c r="G28" s="1"/>
    </row>
    <row r="29" spans="2:7" hidden="1">
      <c r="B29" s="1" t="s">
        <v>37</v>
      </c>
      <c r="C29" s="1" t="s">
        <v>40</v>
      </c>
      <c r="D29" s="1" t="str" cm="1">
        <f t="array" ref="D29">_xlfn.XLOOKUP(Table1[[#This Row],[Product Name]],Table14[[#Headers],[#Data],[Product Name]],Table14[[#Headers],[#Data],[Sales Code for Created CVP Parts]])</f>
        <v>A3</v>
      </c>
      <c r="E29" s="9" t="s">
        <v>14</v>
      </c>
      <c r="F29" s="1" t="str">
        <f>_xlfn.XLOOKUP(Table1[[#This Row],[Product Family]],Table3[Product Family],Table3[Name],"No Approver Listed")</f>
        <v>Michael Ho</v>
      </c>
      <c r="G29" s="1"/>
    </row>
    <row r="30" spans="2:7" hidden="1">
      <c r="B30" s="1" t="s">
        <v>37</v>
      </c>
      <c r="C30" s="1" t="s">
        <v>41</v>
      </c>
      <c r="D30" s="1" t="str" cm="1">
        <f t="array" ref="D30">_xlfn.XLOOKUP(Table1[[#This Row],[Product Name]],Table14[[#Headers],[#Data],[Product Name]],Table14[[#Headers],[#Data],[Sales Code for Created CVP Parts]])</f>
        <v>A3</v>
      </c>
      <c r="E30" s="9" t="s">
        <v>14</v>
      </c>
      <c r="F30" s="1" t="str">
        <f>_xlfn.XLOOKUP(Table1[[#This Row],[Product Family]],Table3[Product Family],Table3[Name],"No Approver Listed")</f>
        <v>Michael Ho</v>
      </c>
      <c r="G30" s="1"/>
    </row>
    <row r="31" spans="2:7" hidden="1">
      <c r="B31" s="1" t="s">
        <v>37</v>
      </c>
      <c r="C31" s="1" t="s">
        <v>42</v>
      </c>
      <c r="D31" s="1" t="str" cm="1">
        <f t="array" ref="D31">_xlfn.XLOOKUP(Table1[[#This Row],[Product Name]],Table14[[#Headers],[#Data],[Product Name]],Table14[[#Headers],[#Data],[Sales Code for Created CVP Parts]])</f>
        <v>A3</v>
      </c>
      <c r="E31" s="9" t="s">
        <v>14</v>
      </c>
      <c r="F31" s="1" t="str">
        <f>_xlfn.XLOOKUP(Table1[[#This Row],[Product Family]],Table3[Product Family],Table3[Name],"No Approver Listed")</f>
        <v>Michael Ho</v>
      </c>
      <c r="G31" s="1"/>
    </row>
    <row r="32" spans="2:7" hidden="1">
      <c r="B32" s="1" t="s">
        <v>37</v>
      </c>
      <c r="C32" s="1" t="s">
        <v>43</v>
      </c>
      <c r="D32" s="1" t="str" cm="1">
        <f t="array" ref="D32">_xlfn.XLOOKUP(Table1[[#This Row],[Product Name]],Table14[[#Headers],[#Data],[Product Name]],Table14[[#Headers],[#Data],[Sales Code for Created CVP Parts]])</f>
        <v>A3</v>
      </c>
      <c r="E32" s="9" t="s">
        <v>14</v>
      </c>
      <c r="F32" s="1" t="str">
        <f>_xlfn.XLOOKUP(Table1[[#This Row],[Product Family]],Table3[Product Family],Table3[Name],"No Approver Listed")</f>
        <v>Michael Ho</v>
      </c>
      <c r="G32" s="1"/>
    </row>
    <row r="33" spans="2:7" hidden="1">
      <c r="B33" s="1" t="s">
        <v>37</v>
      </c>
      <c r="C33" s="1" t="s">
        <v>44</v>
      </c>
      <c r="D33" s="1" t="str" cm="1">
        <f t="array" ref="D33">_xlfn.XLOOKUP(Table1[[#This Row],[Product Name]],Table14[[#Headers],[#Data],[Product Name]],Table14[[#Headers],[#Data],[Sales Code for Created CVP Parts]])</f>
        <v>A3</v>
      </c>
      <c r="E33" s="9" t="s">
        <v>14</v>
      </c>
      <c r="F33" s="1" t="str">
        <f>_xlfn.XLOOKUP(Table1[[#This Row],[Product Family]],Table3[Product Family],Table3[Name],"No Approver Listed")</f>
        <v>Michael Ho</v>
      </c>
      <c r="G33" s="1"/>
    </row>
    <row r="34" spans="2:7" hidden="1">
      <c r="B34" s="1" t="s">
        <v>37</v>
      </c>
      <c r="C34" s="1" t="s">
        <v>45</v>
      </c>
      <c r="D34" s="1" t="str" cm="1">
        <f t="array" ref="D34">_xlfn.XLOOKUP(Table1[[#This Row],[Product Name]],Table14[[#Headers],[#Data],[Product Name]],Table14[[#Headers],[#Data],[Sales Code for Created CVP Parts]])</f>
        <v>A3</v>
      </c>
      <c r="E34" s="9" t="s">
        <v>14</v>
      </c>
      <c r="F34" s="1" t="str">
        <f>_xlfn.XLOOKUP(Table1[[#This Row],[Product Family]],Table3[Product Family],Table3[Name],"No Approver Listed")</f>
        <v>Michael Ho</v>
      </c>
      <c r="G34" s="1"/>
    </row>
    <row r="35" spans="2:7" hidden="1">
      <c r="B35" s="1" t="s">
        <v>37</v>
      </c>
      <c r="C35" s="1" t="s">
        <v>46</v>
      </c>
      <c r="D35" s="1" t="str" cm="1">
        <f t="array" ref="D35">_xlfn.XLOOKUP(Table1[[#This Row],[Product Name]],Table14[[#Headers],[#Data],[Product Name]],Table14[[#Headers],[#Data],[Sales Code for Created CVP Parts]])</f>
        <v>A3</v>
      </c>
      <c r="E35" s="9" t="s">
        <v>14</v>
      </c>
      <c r="F35" s="1" t="str">
        <f>_xlfn.XLOOKUP(Table1[[#This Row],[Product Family]],Table3[Product Family],Table3[Name],"No Approver Listed")</f>
        <v>Michael Ho</v>
      </c>
      <c r="G35" s="1"/>
    </row>
    <row r="36" spans="2:7" hidden="1">
      <c r="B36" s="1" t="s">
        <v>37</v>
      </c>
      <c r="C36" s="1" t="s">
        <v>47</v>
      </c>
      <c r="D36" s="1" t="str" cm="1">
        <f t="array" ref="D36">_xlfn.XLOOKUP(Table1[[#This Row],[Product Name]],Table14[[#Headers],[#Data],[Product Name]],Table14[[#Headers],[#Data],[Sales Code for Created CVP Parts]])</f>
        <v>A3</v>
      </c>
      <c r="E36" s="9" t="s">
        <v>14</v>
      </c>
      <c r="F36" s="1" t="str">
        <f>_xlfn.XLOOKUP(Table1[[#This Row],[Product Family]],Table3[Product Family],Table3[Name],"No Approver Listed")</f>
        <v>Michael Ho</v>
      </c>
      <c r="G36" s="1"/>
    </row>
    <row r="37" spans="2:7" hidden="1">
      <c r="B37" s="1" t="s">
        <v>37</v>
      </c>
      <c r="C37" s="1" t="s">
        <v>48</v>
      </c>
      <c r="D37" s="1" t="str" cm="1">
        <f t="array" ref="D37">_xlfn.XLOOKUP(Table1[[#This Row],[Product Name]],Table14[[#Headers],[#Data],[Product Name]],Table14[[#Headers],[#Data],[Sales Code for Created CVP Parts]])</f>
        <v>A3</v>
      </c>
      <c r="E37" s="9" t="s">
        <v>14</v>
      </c>
      <c r="F37" s="1" t="str">
        <f>_xlfn.XLOOKUP(Table1[[#This Row],[Product Family]],Table3[Product Family],Table3[Name],"No Approver Listed")</f>
        <v>Michael Ho</v>
      </c>
      <c r="G37" s="1"/>
    </row>
    <row r="38" spans="2:7" hidden="1">
      <c r="B38" s="1" t="s">
        <v>37</v>
      </c>
      <c r="C38" s="1" t="s">
        <v>49</v>
      </c>
      <c r="D38" s="1" t="str" cm="1">
        <f t="array" ref="D38">_xlfn.XLOOKUP(Table1[[#This Row],[Product Name]],Table14[[#Headers],[#Data],[Product Name]],Table14[[#Headers],[#Data],[Sales Code for Created CVP Parts]])</f>
        <v>A3</v>
      </c>
      <c r="E38" s="9" t="s">
        <v>14</v>
      </c>
      <c r="F38" s="1" t="str">
        <f>_xlfn.XLOOKUP(Table1[[#This Row],[Product Family]],Table3[Product Family],Table3[Name],"No Approver Listed")</f>
        <v>Michael Ho</v>
      </c>
      <c r="G38" s="1"/>
    </row>
    <row r="39" spans="2:7" hidden="1">
      <c r="B39" s="1" t="s">
        <v>50</v>
      </c>
      <c r="C39" s="1" t="s">
        <v>51</v>
      </c>
      <c r="D39" s="1" t="str" cm="1">
        <f t="array" ref="D39">_xlfn.XLOOKUP(Table1[[#This Row],[Product Name]],Table14[[#Headers],[#Data],[Product Name]],Table14[[#Headers],[#Data],[Sales Code for Created CVP Parts]])</f>
        <v>A1</v>
      </c>
      <c r="E39" s="9" t="s">
        <v>14</v>
      </c>
      <c r="F39" s="1" t="str">
        <f>_xlfn.XLOOKUP(Table1[[#This Row],[Product Family]],Table3[Product Family],Table3[Name],"No Approver Listed")</f>
        <v>Bill Dwyer</v>
      </c>
      <c r="G39" s="1"/>
    </row>
    <row r="40" spans="2:7" hidden="1">
      <c r="B40" s="1" t="s">
        <v>50</v>
      </c>
      <c r="C40" s="1" t="s">
        <v>52</v>
      </c>
      <c r="D40" s="1" t="str" cm="1">
        <f t="array" ref="D40">_xlfn.XLOOKUP(Table1[[#This Row],[Product Name]],Table14[[#Headers],[#Data],[Product Name]],Table14[[#Headers],[#Data],[Sales Code for Created CVP Parts]])</f>
        <v>A1</v>
      </c>
      <c r="E40" s="9" t="s">
        <v>14</v>
      </c>
      <c r="F40" s="1" t="str">
        <f>_xlfn.XLOOKUP(Table1[[#This Row],[Product Family]],Table3[Product Family],Table3[Name],"No Approver Listed")</f>
        <v>Bill Dwyer</v>
      </c>
      <c r="G40" s="1"/>
    </row>
    <row r="41" spans="2:7" hidden="1">
      <c r="B41" s="1" t="s">
        <v>50</v>
      </c>
      <c r="C41" s="1" t="s">
        <v>53</v>
      </c>
      <c r="D41" s="1" t="str" cm="1">
        <f t="array" ref="D41">_xlfn.XLOOKUP(Table1[[#This Row],[Product Name]],Table14[[#Headers],[#Data],[Product Name]],Table14[[#Headers],[#Data],[Sales Code for Created CVP Parts]])</f>
        <v>A1</v>
      </c>
      <c r="E41" s="9" t="s">
        <v>14</v>
      </c>
      <c r="F41" s="1" t="str">
        <f>_xlfn.XLOOKUP(Table1[[#This Row],[Product Family]],Table3[Product Family],Table3[Name],"No Approver Listed")</f>
        <v>Bill Dwyer</v>
      </c>
      <c r="G41" s="1"/>
    </row>
    <row r="42" spans="2:7" hidden="1">
      <c r="B42" s="1" t="s">
        <v>50</v>
      </c>
      <c r="C42" s="1" t="s">
        <v>54</v>
      </c>
      <c r="D42" s="1" t="str" cm="1">
        <f t="array" ref="D42">_xlfn.XLOOKUP(Table1[[#This Row],[Product Name]],Table14[[#Headers],[#Data],[Product Name]],Table14[[#Headers],[#Data],[Sales Code for Created CVP Parts]])</f>
        <v>A1</v>
      </c>
      <c r="E42" s="9" t="s">
        <v>14</v>
      </c>
      <c r="F42" s="1" t="str">
        <f>_xlfn.XLOOKUP(Table1[[#This Row],[Product Family]],Table3[Product Family],Table3[Name],"No Approver Listed")</f>
        <v>Bill Dwyer</v>
      </c>
      <c r="G42" s="1"/>
    </row>
    <row r="43" spans="2:7" hidden="1">
      <c r="B43" s="1" t="s">
        <v>50</v>
      </c>
      <c r="C43" s="1" t="s">
        <v>55</v>
      </c>
      <c r="D43" s="1" t="e" cm="1">
        <f t="array" ref="D43">_xlfn.XLOOKUP(Table1[[#This Row],[Product Name]],Table14[[#Headers],[#Data],[Product Name]],Table14[[#Headers],[#Data],[Sales Code for Created CVP Parts]])</f>
        <v>#N/A</v>
      </c>
      <c r="E43" s="9" t="s">
        <v>10</v>
      </c>
      <c r="F43" s="1" t="str">
        <f>_xlfn.XLOOKUP(Table1[[#This Row],[Product Family]],Table3[Product Family],Table3[Name],"No Approver Listed")</f>
        <v>Bill Dwyer</v>
      </c>
      <c r="G43" s="1"/>
    </row>
    <row r="44" spans="2:7" hidden="1">
      <c r="B44" s="1" t="s">
        <v>56</v>
      </c>
      <c r="C44" s="1" t="s">
        <v>57</v>
      </c>
      <c r="D44" s="1" t="e" cm="1">
        <f t="array" ref="D44">_xlfn.XLOOKUP(Table1[[#This Row],[Product Name]],Table14[[#Headers],[#Data],[Product Name]],Table14[[#Headers],[#Data],[Sales Code for Created CVP Parts]])</f>
        <v>#N/A</v>
      </c>
      <c r="E44" s="9" t="s">
        <v>14</v>
      </c>
      <c r="F44" s="1" t="str">
        <f>_xlfn.XLOOKUP(Table1[[#This Row],[Product Family]],Table3[Product Family],Table3[Name],"No Approver Listed")</f>
        <v>Brett Dibble</v>
      </c>
      <c r="G44" s="1"/>
    </row>
    <row r="45" spans="2:7" hidden="1">
      <c r="B45" s="1" t="s">
        <v>56</v>
      </c>
      <c r="C45" s="1" t="s">
        <v>58</v>
      </c>
      <c r="D45" s="1" t="e" cm="1">
        <f t="array" ref="D45">_xlfn.XLOOKUP(Table1[[#This Row],[Product Name]],Table14[[#Headers],[#Data],[Product Name]],Table14[[#Headers],[#Data],[Sales Code for Created CVP Parts]])</f>
        <v>#N/A</v>
      </c>
      <c r="E45" s="9" t="s">
        <v>14</v>
      </c>
      <c r="F45" s="1" t="str">
        <f>_xlfn.XLOOKUP(Table1[[#This Row],[Product Family]],Table3[Product Family],Table3[Name],"No Approver Listed")</f>
        <v>Brett Dibble</v>
      </c>
      <c r="G45" s="1"/>
    </row>
    <row r="46" spans="2:7" hidden="1">
      <c r="B46" s="1" t="s">
        <v>56</v>
      </c>
      <c r="C46" s="1" t="s">
        <v>59</v>
      </c>
      <c r="D46" s="1" t="e" cm="1">
        <f t="array" ref="D46">_xlfn.XLOOKUP(Table1[[#This Row],[Product Name]],Table14[[#Headers],[#Data],[Product Name]],Table14[[#Headers],[#Data],[Sales Code for Created CVP Parts]])</f>
        <v>#N/A</v>
      </c>
      <c r="E46" s="9" t="s">
        <v>14</v>
      </c>
      <c r="F46" s="1" t="str">
        <f>_xlfn.XLOOKUP(Table1[[#This Row],[Product Family]],Table3[Product Family],Table3[Name],"No Approver Listed")</f>
        <v>Brett Dibble</v>
      </c>
      <c r="G46" s="1"/>
    </row>
    <row r="47" spans="2:7" hidden="1">
      <c r="B47" s="1" t="s">
        <v>56</v>
      </c>
      <c r="C47" s="1" t="s">
        <v>60</v>
      </c>
      <c r="D47" s="1" t="e" cm="1">
        <f t="array" ref="D47">_xlfn.XLOOKUP(Table1[[#This Row],[Product Name]],Table14[[#Headers],[#Data],[Product Name]],Table14[[#Headers],[#Data],[Sales Code for Created CVP Parts]])</f>
        <v>#N/A</v>
      </c>
      <c r="E47" s="9" t="s">
        <v>14</v>
      </c>
      <c r="F47" s="1" t="str">
        <f>_xlfn.XLOOKUP(Table1[[#This Row],[Product Family]],Table3[Product Family],Table3[Name],"No Approver Listed")</f>
        <v>Brett Dibble</v>
      </c>
      <c r="G47" s="1"/>
    </row>
    <row r="48" spans="2:7" hidden="1">
      <c r="B48" s="1" t="s">
        <v>56</v>
      </c>
      <c r="C48" s="1" t="s">
        <v>61</v>
      </c>
      <c r="D48" s="1" t="e" cm="1">
        <f t="array" ref="D48">_xlfn.XLOOKUP(Table1[[#This Row],[Product Name]],Table14[[#Headers],[#Data],[Product Name]],Table14[[#Headers],[#Data],[Sales Code for Created CVP Parts]])</f>
        <v>#N/A</v>
      </c>
      <c r="E48" s="9" t="s">
        <v>14</v>
      </c>
      <c r="F48" s="1" t="str">
        <f>_xlfn.XLOOKUP(Table1[[#This Row],[Product Family]],Table3[Product Family],Table3[Name],"No Approver Listed")</f>
        <v>Brett Dibble</v>
      </c>
      <c r="G48" s="1"/>
    </row>
    <row r="49" spans="2:7" hidden="1">
      <c r="B49" s="1" t="s">
        <v>56</v>
      </c>
      <c r="C49" s="1" t="s">
        <v>62</v>
      </c>
      <c r="D49" s="1" t="e" cm="1">
        <f t="array" ref="D49">_xlfn.XLOOKUP(Table1[[#This Row],[Product Name]],Table14[[#Headers],[#Data],[Product Name]],Table14[[#Headers],[#Data],[Sales Code for Created CVP Parts]])</f>
        <v>#N/A</v>
      </c>
      <c r="E49" s="9" t="s">
        <v>14</v>
      </c>
      <c r="F49" s="1" t="str">
        <f>_xlfn.XLOOKUP(Table1[[#This Row],[Product Family]],Table3[Product Family],Table3[Name],"No Approver Listed")</f>
        <v>Brett Dibble</v>
      </c>
      <c r="G49" s="1"/>
    </row>
    <row r="50" spans="2:7" hidden="1">
      <c r="B50" s="1" t="s">
        <v>63</v>
      </c>
      <c r="C50" s="1" t="s">
        <v>64</v>
      </c>
      <c r="D50" s="1" t="str" cm="1">
        <f t="array" ref="D50">_xlfn.XLOOKUP(Table1[[#This Row],[Product Name]],Table14[[#Headers],[#Data],[Product Name]],Table14[[#Headers],[#Data],[Sales Code for Created CVP Parts]])</f>
        <v>A7</v>
      </c>
      <c r="E50" s="9" t="s">
        <v>10</v>
      </c>
      <c r="F50" s="1" t="str">
        <f>_xlfn.XLOOKUP(Table1[[#This Row],[Product Family]],Table3[Product Family],Table3[Name],"No Approver Listed")</f>
        <v>Jose Sifuentes</v>
      </c>
      <c r="G50" s="1"/>
    </row>
    <row r="51" spans="2:7" hidden="1">
      <c r="B51" s="1" t="s">
        <v>63</v>
      </c>
      <c r="C51" s="1" t="s">
        <v>65</v>
      </c>
      <c r="D51" s="1" t="str" cm="1">
        <f t="array" ref="D51">_xlfn.XLOOKUP(Table1[[#This Row],[Product Name]],Table14[[#Headers],[#Data],[Product Name]],Table14[[#Headers],[#Data],[Sales Code for Created CVP Parts]])</f>
        <v>A7</v>
      </c>
      <c r="E51" s="9" t="s">
        <v>10</v>
      </c>
      <c r="F51" s="1" t="str">
        <f>_xlfn.XLOOKUP(Table1[[#This Row],[Product Family]],Table3[Product Family],Table3[Name],"No Approver Listed")</f>
        <v>Jose Sifuentes</v>
      </c>
      <c r="G51" s="1"/>
    </row>
    <row r="52" spans="2:7" hidden="1">
      <c r="B52" s="1" t="s">
        <v>66</v>
      </c>
      <c r="C52" s="1" t="s">
        <v>67</v>
      </c>
      <c r="D52" s="1" t="str" cm="1">
        <f t="array" ref="D52">_xlfn.XLOOKUP(Table1[[#This Row],[Product Name]],Table14[[#Headers],[#Data],[Product Name]],Table14[[#Headers],[#Data],[Sales Code for Created CVP Parts]])</f>
        <v>A7</v>
      </c>
      <c r="E52" s="9" t="s">
        <v>10</v>
      </c>
      <c r="F52" s="1" t="str">
        <f>_xlfn.XLOOKUP(Table1[[#This Row],[Product Family]],Table3[Product Family],Table3[Name],"No Approver Listed")</f>
        <v>AJ Pill</v>
      </c>
      <c r="G52" s="1"/>
    </row>
    <row r="53" spans="2:7" hidden="1">
      <c r="B53" s="1" t="s">
        <v>66</v>
      </c>
      <c r="C53" s="1" t="s">
        <v>68</v>
      </c>
      <c r="D53" s="1" t="str" cm="1">
        <f t="array" ref="D53">_xlfn.XLOOKUP(Table1[[#This Row],[Product Name]],Table14[[#Headers],[#Data],[Product Name]],Table14[[#Headers],[#Data],[Sales Code for Created CVP Parts]])</f>
        <v>A7</v>
      </c>
      <c r="E53" s="9" t="s">
        <v>10</v>
      </c>
      <c r="F53" s="1" t="str">
        <f>_xlfn.XLOOKUP(Table1[[#This Row],[Product Family]],Table3[Product Family],Table3[Name],"No Approver Listed")</f>
        <v>AJ Pill</v>
      </c>
      <c r="G53" s="1"/>
    </row>
    <row r="54" spans="2:7" hidden="1">
      <c r="B54" s="1" t="s">
        <v>66</v>
      </c>
      <c r="C54" s="1" t="s">
        <v>69</v>
      </c>
      <c r="D54" s="1" t="str" cm="1">
        <f t="array" ref="D54">_xlfn.XLOOKUP(Table1[[#This Row],[Product Name]],Table14[[#Headers],[#Data],[Product Name]],Table14[[#Headers],[#Data],[Sales Code for Created CVP Parts]])</f>
        <v>A7</v>
      </c>
      <c r="E54" s="9" t="s">
        <v>10</v>
      </c>
      <c r="F54" s="1" t="str">
        <f>_xlfn.XLOOKUP(Table1[[#This Row],[Product Family]],Table3[Product Family],Table3[Name],"No Approver Listed")</f>
        <v>AJ Pill</v>
      </c>
      <c r="G54" s="1"/>
    </row>
    <row r="55" spans="2:7" hidden="1">
      <c r="B55" s="1" t="s">
        <v>66</v>
      </c>
      <c r="C55" s="1" t="s">
        <v>70</v>
      </c>
      <c r="D55" s="1" t="str" cm="1">
        <f t="array" ref="D55">_xlfn.XLOOKUP(Table1[[#This Row],[Product Name]],Table14[[#Headers],[#Data],[Product Name]],Table14[[#Headers],[#Data],[Sales Code for Created CVP Parts]])</f>
        <v>A7</v>
      </c>
      <c r="E55" s="9" t="s">
        <v>10</v>
      </c>
      <c r="F55" s="1" t="str">
        <f>_xlfn.XLOOKUP(Table1[[#This Row],[Product Family]],Table3[Product Family],Table3[Name],"No Approver Listed")</f>
        <v>AJ Pill</v>
      </c>
      <c r="G55" s="1"/>
    </row>
    <row r="56" spans="2:7" hidden="1">
      <c r="B56" s="1" t="s">
        <v>71</v>
      </c>
      <c r="C56" s="1" t="s">
        <v>72</v>
      </c>
      <c r="D56" s="1" t="str" cm="1">
        <f t="array" ref="D56">_xlfn.XLOOKUP(Table1[[#This Row],[Product Name]],Table14[[#Headers],[#Data],[Product Name]],Table14[[#Headers],[#Data],[Sales Code for Created CVP Parts]])</f>
        <v>A1</v>
      </c>
      <c r="E56" s="9" t="s">
        <v>14</v>
      </c>
      <c r="F56" s="1" t="str">
        <f>_xlfn.XLOOKUP(Table1[[#This Row],[Product Family]],Table3[Product Family],Table3[Name],"No Approver Listed")</f>
        <v>AJ Pill</v>
      </c>
      <c r="G56" s="1"/>
    </row>
    <row r="57" spans="2:7">
      <c r="C57" s="1" t="s">
        <v>73</v>
      </c>
      <c r="G57" s="1"/>
    </row>
  </sheetData>
  <phoneticPr fontId="0" type="noConversion"/>
  <conditionalFormatting sqref="E3">
    <cfRule type="expression" dxfId="37" priority="1">
      <formula>"!=$D$3"</formula>
    </cfRule>
  </conditionalFormatting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5C57-8544-4A11-872D-BE25ECD2C4D0}">
  <dimension ref="D2:H12"/>
  <sheetViews>
    <sheetView workbookViewId="0">
      <selection activeCell="F11" sqref="F11"/>
    </sheetView>
  </sheetViews>
  <sheetFormatPr defaultRowHeight="13.15"/>
  <cols>
    <col min="4" max="4" width="16.7109375" bestFit="1" customWidth="1"/>
    <col min="5" max="5" width="11.28515625" bestFit="1" customWidth="1"/>
    <col min="6" max="6" width="17.7109375" bestFit="1" customWidth="1"/>
  </cols>
  <sheetData>
    <row r="2" spans="4:8">
      <c r="D2" t="s">
        <v>0</v>
      </c>
      <c r="E2" t="s">
        <v>4</v>
      </c>
      <c r="F2" t="s">
        <v>74</v>
      </c>
      <c r="H2" t="s">
        <v>75</v>
      </c>
    </row>
    <row r="3" spans="4:8">
      <c r="D3" t="s">
        <v>8</v>
      </c>
      <c r="E3" t="s">
        <v>76</v>
      </c>
      <c r="F3" t="s">
        <v>77</v>
      </c>
      <c r="H3" t="s">
        <v>78</v>
      </c>
    </row>
    <row r="4" spans="4:8">
      <c r="D4" t="s">
        <v>20</v>
      </c>
      <c r="E4" t="s">
        <v>79</v>
      </c>
      <c r="F4" t="s">
        <v>80</v>
      </c>
      <c r="H4" t="s">
        <v>81</v>
      </c>
    </row>
    <row r="5" spans="4:8">
      <c r="D5" t="s">
        <v>30</v>
      </c>
      <c r="E5" t="s">
        <v>82</v>
      </c>
      <c r="F5" t="s">
        <v>83</v>
      </c>
    </row>
    <row r="6" spans="4:8">
      <c r="D6" t="s">
        <v>37</v>
      </c>
      <c r="E6" t="s">
        <v>84</v>
      </c>
      <c r="F6" t="s">
        <v>85</v>
      </c>
    </row>
    <row r="7" spans="4:8">
      <c r="D7" t="s">
        <v>50</v>
      </c>
      <c r="E7" t="s">
        <v>86</v>
      </c>
      <c r="F7" t="s">
        <v>87</v>
      </c>
    </row>
    <row r="8" spans="4:8">
      <c r="D8" t="s">
        <v>56</v>
      </c>
      <c r="E8" t="s">
        <v>88</v>
      </c>
      <c r="F8" t="s">
        <v>89</v>
      </c>
    </row>
    <row r="9" spans="4:8">
      <c r="D9" t="s">
        <v>63</v>
      </c>
      <c r="E9" t="s">
        <v>90</v>
      </c>
      <c r="F9" t="s">
        <v>91</v>
      </c>
    </row>
    <row r="10" spans="4:8">
      <c r="D10" t="s">
        <v>66</v>
      </c>
      <c r="E10" t="s">
        <v>86</v>
      </c>
      <c r="F10" t="s">
        <v>83</v>
      </c>
    </row>
    <row r="11" spans="4:8">
      <c r="D11" t="s">
        <v>71</v>
      </c>
      <c r="E11" t="s">
        <v>82</v>
      </c>
      <c r="F11" t="s">
        <v>83</v>
      </c>
    </row>
    <row r="12" spans="4:8">
      <c r="D12" t="s">
        <v>25</v>
      </c>
      <c r="E12" t="s">
        <v>92</v>
      </c>
      <c r="F12" t="s">
        <v>93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362A-4E85-4523-A7CE-58E0D521DBE9}">
  <dimension ref="A1:H54"/>
  <sheetViews>
    <sheetView topLeftCell="B1" workbookViewId="0">
      <selection activeCell="D10" sqref="D10"/>
    </sheetView>
  </sheetViews>
  <sheetFormatPr defaultRowHeight="13.15"/>
  <cols>
    <col min="1" max="1" width="13" hidden="1" customWidth="1"/>
    <col min="2" max="2" width="31" style="1" bestFit="1" customWidth="1"/>
    <col min="3" max="3" width="19" style="1" hidden="1" customWidth="1"/>
    <col min="4" max="4" width="32.7109375" style="1" customWidth="1"/>
    <col min="5" max="5" width="37" hidden="1" customWidth="1"/>
    <col min="6" max="6" width="13" hidden="1" customWidth="1"/>
    <col min="7" max="7" width="12" hidden="1" customWidth="1"/>
    <col min="8" max="8" width="13.140625" bestFit="1" customWidth="1"/>
  </cols>
  <sheetData>
    <row r="1" spans="1:8" ht="26.45">
      <c r="A1" s="8" t="s">
        <v>94</v>
      </c>
      <c r="B1" s="7" t="s">
        <v>1</v>
      </c>
      <c r="C1" s="7" t="s">
        <v>95</v>
      </c>
      <c r="D1" s="6" t="s">
        <v>96</v>
      </c>
      <c r="E1" s="5" t="s">
        <v>97</v>
      </c>
      <c r="F1" s="5" t="s">
        <v>98</v>
      </c>
      <c r="G1" s="5" t="s">
        <v>99</v>
      </c>
      <c r="H1" s="5" t="s">
        <v>100</v>
      </c>
    </row>
    <row r="2" spans="1:8">
      <c r="A2" t="s">
        <v>101</v>
      </c>
      <c r="B2" s="1" t="s">
        <v>9</v>
      </c>
      <c r="C2" s="1" t="s">
        <v>102</v>
      </c>
      <c r="D2" s="1" t="s">
        <v>10</v>
      </c>
      <c r="E2" t="s">
        <v>103</v>
      </c>
      <c r="F2" s="4">
        <v>44105</v>
      </c>
      <c r="G2" t="s">
        <v>104</v>
      </c>
      <c r="H2" t="s">
        <v>77</v>
      </c>
    </row>
    <row r="3" spans="1:8">
      <c r="A3" t="s">
        <v>101</v>
      </c>
      <c r="B3" s="1" t="s">
        <v>11</v>
      </c>
      <c r="C3" s="1" t="s">
        <v>102</v>
      </c>
      <c r="D3" s="1" t="s">
        <v>10</v>
      </c>
      <c r="E3" t="s">
        <v>103</v>
      </c>
      <c r="F3" s="4">
        <v>44105</v>
      </c>
      <c r="G3" t="s">
        <v>104</v>
      </c>
      <c r="H3" t="s">
        <v>77</v>
      </c>
    </row>
    <row r="4" spans="1:8">
      <c r="A4" t="s">
        <v>101</v>
      </c>
      <c r="B4" s="1" t="s">
        <v>12</v>
      </c>
      <c r="C4" s="1" t="s">
        <v>102</v>
      </c>
      <c r="D4" s="1" t="s">
        <v>10</v>
      </c>
      <c r="E4" t="s">
        <v>103</v>
      </c>
      <c r="F4" s="4">
        <v>44105</v>
      </c>
      <c r="G4" t="s">
        <v>104</v>
      </c>
      <c r="H4" t="s">
        <v>77</v>
      </c>
    </row>
    <row r="5" spans="1:8">
      <c r="A5" t="s">
        <v>101</v>
      </c>
      <c r="B5" s="1" t="s">
        <v>15</v>
      </c>
      <c r="C5" s="1" t="s">
        <v>102</v>
      </c>
      <c r="D5" s="1" t="s">
        <v>10</v>
      </c>
      <c r="E5" t="s">
        <v>103</v>
      </c>
      <c r="F5" s="4">
        <v>44105</v>
      </c>
      <c r="G5" t="s">
        <v>104</v>
      </c>
      <c r="H5" t="s">
        <v>77</v>
      </c>
    </row>
    <row r="6" spans="1:8">
      <c r="A6" t="s">
        <v>101</v>
      </c>
      <c r="B6" s="1" t="s">
        <v>17</v>
      </c>
      <c r="C6" s="1" t="s">
        <v>102</v>
      </c>
      <c r="D6" s="1" t="s">
        <v>10</v>
      </c>
      <c r="E6" t="s">
        <v>103</v>
      </c>
      <c r="F6" s="4">
        <v>44105</v>
      </c>
      <c r="G6" t="s">
        <v>104</v>
      </c>
      <c r="H6" t="s">
        <v>77</v>
      </c>
    </row>
    <row r="7" spans="1:8">
      <c r="A7" t="s">
        <v>101</v>
      </c>
      <c r="B7" s="1" t="s">
        <v>18</v>
      </c>
      <c r="C7" s="1" t="s">
        <v>102</v>
      </c>
      <c r="D7" s="1" t="s">
        <v>10</v>
      </c>
      <c r="E7" t="s">
        <v>103</v>
      </c>
      <c r="F7" s="4">
        <v>44105</v>
      </c>
      <c r="G7" t="s">
        <v>104</v>
      </c>
      <c r="H7" t="s">
        <v>77</v>
      </c>
    </row>
    <row r="8" spans="1:8">
      <c r="A8" t="s">
        <v>101</v>
      </c>
      <c r="B8" s="1" t="s">
        <v>19</v>
      </c>
      <c r="C8" s="1" t="s">
        <v>102</v>
      </c>
      <c r="D8" s="1" t="s">
        <v>10</v>
      </c>
      <c r="E8" t="s">
        <v>103</v>
      </c>
      <c r="F8" s="4">
        <v>44105</v>
      </c>
      <c r="G8" t="s">
        <v>104</v>
      </c>
      <c r="H8" t="s">
        <v>77</v>
      </c>
    </row>
    <row r="9" spans="1:8">
      <c r="A9" t="s">
        <v>101</v>
      </c>
      <c r="B9" s="1" t="s">
        <v>21</v>
      </c>
      <c r="C9" s="1" t="s">
        <v>102</v>
      </c>
      <c r="D9" s="1" t="s">
        <v>10</v>
      </c>
      <c r="E9" t="s">
        <v>103</v>
      </c>
      <c r="F9" s="4">
        <v>43920</v>
      </c>
      <c r="G9" t="s">
        <v>105</v>
      </c>
      <c r="H9" t="s">
        <v>80</v>
      </c>
    </row>
    <row r="10" spans="1:8">
      <c r="A10" t="s">
        <v>101</v>
      </c>
      <c r="B10" s="1" t="s">
        <v>22</v>
      </c>
      <c r="C10" s="1" t="s">
        <v>102</v>
      </c>
      <c r="D10" s="1" t="s">
        <v>10</v>
      </c>
      <c r="E10" t="s">
        <v>103</v>
      </c>
      <c r="F10" s="4">
        <v>43920</v>
      </c>
      <c r="G10" t="s">
        <v>105</v>
      </c>
      <c r="H10" t="s">
        <v>80</v>
      </c>
    </row>
    <row r="11" spans="1:8">
      <c r="A11" t="s">
        <v>101</v>
      </c>
      <c r="B11" s="1" t="s">
        <v>23</v>
      </c>
      <c r="C11" s="1" t="s">
        <v>102</v>
      </c>
      <c r="D11" s="1" t="s">
        <v>106</v>
      </c>
      <c r="E11" t="s">
        <v>103</v>
      </c>
      <c r="F11" s="4">
        <v>43920</v>
      </c>
      <c r="G11" t="s">
        <v>105</v>
      </c>
      <c r="H11" t="s">
        <v>80</v>
      </c>
    </row>
    <row r="12" spans="1:8">
      <c r="A12" t="s">
        <v>101</v>
      </c>
      <c r="B12" s="1" t="s">
        <v>24</v>
      </c>
      <c r="C12" s="1" t="s">
        <v>102</v>
      </c>
      <c r="D12" s="1" t="s">
        <v>106</v>
      </c>
      <c r="E12" t="s">
        <v>103</v>
      </c>
      <c r="F12" s="4">
        <v>43920</v>
      </c>
      <c r="G12" t="s">
        <v>105</v>
      </c>
      <c r="H12" t="s">
        <v>80</v>
      </c>
    </row>
    <row r="13" spans="1:8">
      <c r="A13" t="s">
        <v>101</v>
      </c>
      <c r="B13" s="1" t="s">
        <v>26</v>
      </c>
      <c r="C13" s="1" t="s">
        <v>102</v>
      </c>
      <c r="D13" s="1" t="s">
        <v>107</v>
      </c>
      <c r="E13" t="s">
        <v>103</v>
      </c>
      <c r="F13" s="4">
        <v>44714</v>
      </c>
      <c r="G13" t="s">
        <v>105</v>
      </c>
      <c r="H13" t="s">
        <v>93</v>
      </c>
    </row>
    <row r="14" spans="1:8">
      <c r="A14" t="s">
        <v>101</v>
      </c>
      <c r="B14" s="1" t="s">
        <v>27</v>
      </c>
      <c r="C14" s="1" t="s">
        <v>102</v>
      </c>
      <c r="D14" s="1" t="s">
        <v>107</v>
      </c>
      <c r="E14" t="s">
        <v>103</v>
      </c>
      <c r="F14" s="4">
        <v>44714</v>
      </c>
      <c r="G14" t="s">
        <v>105</v>
      </c>
      <c r="H14" t="s">
        <v>93</v>
      </c>
    </row>
    <row r="15" spans="1:8">
      <c r="A15" t="s">
        <v>101</v>
      </c>
      <c r="B15" s="1" t="s">
        <v>108</v>
      </c>
      <c r="C15" s="1" t="s">
        <v>102</v>
      </c>
      <c r="D15" s="1" t="s">
        <v>107</v>
      </c>
      <c r="E15" t="s">
        <v>103</v>
      </c>
      <c r="F15" s="4">
        <v>44714</v>
      </c>
      <c r="G15" t="s">
        <v>105</v>
      </c>
      <c r="H15" t="s">
        <v>93</v>
      </c>
    </row>
    <row r="16" spans="1:8">
      <c r="A16" t="s">
        <v>101</v>
      </c>
      <c r="B16" s="1" t="s">
        <v>29</v>
      </c>
      <c r="C16" s="1" t="s">
        <v>102</v>
      </c>
      <c r="D16" s="1" t="s">
        <v>107</v>
      </c>
      <c r="E16" t="s">
        <v>103</v>
      </c>
      <c r="F16" s="4">
        <v>44714</v>
      </c>
      <c r="G16" t="s">
        <v>105</v>
      </c>
      <c r="H16" t="s">
        <v>93</v>
      </c>
    </row>
    <row r="17" spans="1:8">
      <c r="A17" t="s">
        <v>101</v>
      </c>
      <c r="B17" s="1" t="s">
        <v>109</v>
      </c>
      <c r="C17" s="1" t="s">
        <v>102</v>
      </c>
      <c r="D17" s="1" t="s">
        <v>107</v>
      </c>
      <c r="E17" t="s">
        <v>103</v>
      </c>
      <c r="F17" s="4">
        <v>44714</v>
      </c>
      <c r="G17" t="s">
        <v>105</v>
      </c>
      <c r="H17" t="s">
        <v>93</v>
      </c>
    </row>
    <row r="18" spans="1:8">
      <c r="A18" t="s">
        <v>101</v>
      </c>
      <c r="B18" s="1" t="s">
        <v>110</v>
      </c>
      <c r="C18" s="1" t="s">
        <v>102</v>
      </c>
      <c r="D18" s="1" t="s">
        <v>106</v>
      </c>
      <c r="E18" t="s">
        <v>103</v>
      </c>
      <c r="F18" s="4">
        <v>43920</v>
      </c>
      <c r="G18" t="s">
        <v>105</v>
      </c>
      <c r="H18" t="s">
        <v>83</v>
      </c>
    </row>
    <row r="19" spans="1:8">
      <c r="A19" t="s">
        <v>101</v>
      </c>
      <c r="B19" s="1" t="s">
        <v>31</v>
      </c>
      <c r="C19" s="1" t="s">
        <v>102</v>
      </c>
      <c r="D19" s="1" t="s">
        <v>106</v>
      </c>
      <c r="E19" t="s">
        <v>103</v>
      </c>
      <c r="F19" s="4">
        <v>44489</v>
      </c>
      <c r="G19" t="s">
        <v>105</v>
      </c>
      <c r="H19" t="s">
        <v>83</v>
      </c>
    </row>
    <row r="20" spans="1:8">
      <c r="A20" t="s">
        <v>101</v>
      </c>
      <c r="B20" s="1" t="s">
        <v>111</v>
      </c>
      <c r="C20" s="1" t="s">
        <v>102</v>
      </c>
      <c r="D20" s="1" t="s">
        <v>106</v>
      </c>
      <c r="E20" t="s">
        <v>103</v>
      </c>
      <c r="F20" s="4">
        <v>43920</v>
      </c>
      <c r="G20" t="s">
        <v>105</v>
      </c>
      <c r="H20" t="s">
        <v>83</v>
      </c>
    </row>
    <row r="21" spans="1:8">
      <c r="A21" t="s">
        <v>101</v>
      </c>
      <c r="B21" s="1" t="s">
        <v>32</v>
      </c>
      <c r="C21" s="1" t="s">
        <v>102</v>
      </c>
      <c r="D21" s="1" t="s">
        <v>106</v>
      </c>
      <c r="E21" t="s">
        <v>103</v>
      </c>
      <c r="F21" s="4">
        <v>44489</v>
      </c>
      <c r="G21" t="s">
        <v>105</v>
      </c>
      <c r="H21" t="s">
        <v>83</v>
      </c>
    </row>
    <row r="22" spans="1:8">
      <c r="A22" t="s">
        <v>101</v>
      </c>
      <c r="B22" s="1" t="s">
        <v>112</v>
      </c>
      <c r="C22" s="1" t="s">
        <v>102</v>
      </c>
      <c r="D22" s="1" t="s">
        <v>106</v>
      </c>
      <c r="E22" t="s">
        <v>103</v>
      </c>
      <c r="F22" s="4">
        <v>43920</v>
      </c>
      <c r="G22" t="s">
        <v>105</v>
      </c>
      <c r="H22" t="s">
        <v>83</v>
      </c>
    </row>
    <row r="23" spans="1:8">
      <c r="A23" t="s">
        <v>101</v>
      </c>
      <c r="B23" s="1" t="s">
        <v>33</v>
      </c>
      <c r="C23" s="1" t="s">
        <v>102</v>
      </c>
      <c r="D23" s="1" t="s">
        <v>106</v>
      </c>
      <c r="E23" t="s">
        <v>103</v>
      </c>
      <c r="F23" s="4">
        <v>44489</v>
      </c>
      <c r="G23" t="s">
        <v>105</v>
      </c>
      <c r="H23" t="s">
        <v>83</v>
      </c>
    </row>
    <row r="24" spans="1:8">
      <c r="A24" t="s">
        <v>101</v>
      </c>
      <c r="B24" s="1" t="s">
        <v>113</v>
      </c>
      <c r="C24" s="1" t="s">
        <v>102</v>
      </c>
      <c r="D24" s="1" t="s">
        <v>106</v>
      </c>
      <c r="E24" t="s">
        <v>103</v>
      </c>
      <c r="F24" s="4">
        <v>43920</v>
      </c>
      <c r="G24" t="s">
        <v>105</v>
      </c>
      <c r="H24" t="s">
        <v>83</v>
      </c>
    </row>
    <row r="25" spans="1:8">
      <c r="A25" t="s">
        <v>101</v>
      </c>
      <c r="B25" s="1" t="s">
        <v>34</v>
      </c>
      <c r="C25" s="1" t="s">
        <v>102</v>
      </c>
      <c r="D25" s="1" t="s">
        <v>106</v>
      </c>
      <c r="E25" t="s">
        <v>103</v>
      </c>
      <c r="F25" s="4">
        <v>44489</v>
      </c>
      <c r="G25" t="s">
        <v>105</v>
      </c>
      <c r="H25" t="s">
        <v>83</v>
      </c>
    </row>
    <row r="26" spans="1:8">
      <c r="A26" t="s">
        <v>101</v>
      </c>
      <c r="B26" s="1" t="s">
        <v>114</v>
      </c>
      <c r="C26" s="1" t="s">
        <v>102</v>
      </c>
      <c r="D26" s="1" t="s">
        <v>106</v>
      </c>
      <c r="E26" t="s">
        <v>103</v>
      </c>
      <c r="F26" s="4">
        <v>43920</v>
      </c>
      <c r="G26" t="s">
        <v>105</v>
      </c>
      <c r="H26" t="s">
        <v>83</v>
      </c>
    </row>
    <row r="27" spans="1:8">
      <c r="A27" t="s">
        <v>101</v>
      </c>
      <c r="B27" s="1" t="s">
        <v>35</v>
      </c>
      <c r="C27" s="1" t="s">
        <v>102</v>
      </c>
      <c r="D27" s="1" t="s">
        <v>106</v>
      </c>
      <c r="E27" t="s">
        <v>103</v>
      </c>
      <c r="F27" s="4">
        <v>44489</v>
      </c>
      <c r="G27" t="s">
        <v>105</v>
      </c>
      <c r="H27" t="s">
        <v>83</v>
      </c>
    </row>
    <row r="28" spans="1:8">
      <c r="A28" t="s">
        <v>101</v>
      </c>
      <c r="B28" s="1" t="s">
        <v>115</v>
      </c>
      <c r="C28" s="1" t="s">
        <v>102</v>
      </c>
      <c r="D28" s="1" t="s">
        <v>106</v>
      </c>
      <c r="E28" t="s">
        <v>103</v>
      </c>
      <c r="F28" s="4">
        <v>43920</v>
      </c>
      <c r="G28" t="s">
        <v>105</v>
      </c>
      <c r="H28" t="s">
        <v>83</v>
      </c>
    </row>
    <row r="29" spans="1:8">
      <c r="A29" t="s">
        <v>101</v>
      </c>
      <c r="B29" s="1" t="s">
        <v>36</v>
      </c>
      <c r="C29" s="1" t="s">
        <v>102</v>
      </c>
      <c r="D29" s="1" t="s">
        <v>106</v>
      </c>
      <c r="E29" t="s">
        <v>103</v>
      </c>
      <c r="F29" s="4">
        <v>44489</v>
      </c>
      <c r="G29" t="s">
        <v>105</v>
      </c>
      <c r="H29" t="s">
        <v>83</v>
      </c>
    </row>
    <row r="30" spans="1:8">
      <c r="A30" t="s">
        <v>101</v>
      </c>
      <c r="B30" s="1" t="s">
        <v>38</v>
      </c>
      <c r="C30" s="1" t="s">
        <v>102</v>
      </c>
      <c r="D30" s="1" t="s">
        <v>107</v>
      </c>
      <c r="E30" t="s">
        <v>103</v>
      </c>
      <c r="F30" s="4">
        <v>44515</v>
      </c>
      <c r="G30" t="s">
        <v>105</v>
      </c>
      <c r="H30" t="s">
        <v>85</v>
      </c>
    </row>
    <row r="31" spans="1:8">
      <c r="A31" t="s">
        <v>101</v>
      </c>
      <c r="B31" s="1" t="s">
        <v>39</v>
      </c>
      <c r="C31" s="1" t="s">
        <v>102</v>
      </c>
      <c r="D31" s="1" t="s">
        <v>107</v>
      </c>
      <c r="E31" t="s">
        <v>103</v>
      </c>
      <c r="F31" s="4">
        <v>44515</v>
      </c>
      <c r="G31" t="s">
        <v>105</v>
      </c>
      <c r="H31" t="s">
        <v>85</v>
      </c>
    </row>
    <row r="32" spans="1:8">
      <c r="A32" t="s">
        <v>101</v>
      </c>
      <c r="B32" s="1" t="s">
        <v>40</v>
      </c>
      <c r="C32" s="1" t="s">
        <v>102</v>
      </c>
      <c r="D32" s="1" t="s">
        <v>107</v>
      </c>
      <c r="E32" t="s">
        <v>103</v>
      </c>
      <c r="F32" s="4">
        <v>44515</v>
      </c>
      <c r="G32" t="s">
        <v>105</v>
      </c>
      <c r="H32" t="s">
        <v>85</v>
      </c>
    </row>
    <row r="33" spans="1:8">
      <c r="A33" t="s">
        <v>101</v>
      </c>
      <c r="B33" s="1" t="s">
        <v>41</v>
      </c>
      <c r="C33" s="1" t="s">
        <v>102</v>
      </c>
      <c r="D33" s="1" t="s">
        <v>107</v>
      </c>
      <c r="E33" t="s">
        <v>103</v>
      </c>
      <c r="F33" s="4">
        <v>44515</v>
      </c>
      <c r="G33" t="s">
        <v>105</v>
      </c>
      <c r="H33" t="s">
        <v>85</v>
      </c>
    </row>
    <row r="34" spans="1:8">
      <c r="A34" t="s">
        <v>101</v>
      </c>
      <c r="B34" s="1" t="s">
        <v>42</v>
      </c>
      <c r="C34" s="1" t="s">
        <v>102</v>
      </c>
      <c r="D34" s="1" t="s">
        <v>107</v>
      </c>
      <c r="E34" t="s">
        <v>103</v>
      </c>
      <c r="F34" s="4">
        <v>44515</v>
      </c>
      <c r="G34" t="s">
        <v>105</v>
      </c>
      <c r="H34" t="s">
        <v>85</v>
      </c>
    </row>
    <row r="35" spans="1:8">
      <c r="A35" t="s">
        <v>101</v>
      </c>
      <c r="B35" s="1" t="s">
        <v>43</v>
      </c>
      <c r="C35" s="1" t="s">
        <v>102</v>
      </c>
      <c r="D35" s="1" t="s">
        <v>107</v>
      </c>
      <c r="E35" t="s">
        <v>103</v>
      </c>
      <c r="F35" s="4">
        <v>44515</v>
      </c>
      <c r="G35" t="s">
        <v>105</v>
      </c>
      <c r="H35" t="s">
        <v>85</v>
      </c>
    </row>
    <row r="36" spans="1:8">
      <c r="A36" t="s">
        <v>101</v>
      </c>
      <c r="B36" s="1" t="s">
        <v>44</v>
      </c>
      <c r="C36" s="1" t="s">
        <v>102</v>
      </c>
      <c r="D36" s="1" t="s">
        <v>107</v>
      </c>
      <c r="E36" t="s">
        <v>103</v>
      </c>
      <c r="F36" s="4">
        <v>43920</v>
      </c>
      <c r="G36" t="s">
        <v>105</v>
      </c>
      <c r="H36" t="s">
        <v>85</v>
      </c>
    </row>
    <row r="37" spans="1:8">
      <c r="A37" t="s">
        <v>101</v>
      </c>
      <c r="B37" s="1" t="s">
        <v>45</v>
      </c>
      <c r="C37" s="1" t="s">
        <v>102</v>
      </c>
      <c r="D37" s="1" t="s">
        <v>107</v>
      </c>
      <c r="E37" t="s">
        <v>103</v>
      </c>
      <c r="F37" s="4">
        <v>43920</v>
      </c>
      <c r="G37" t="s">
        <v>105</v>
      </c>
      <c r="H37" t="s">
        <v>85</v>
      </c>
    </row>
    <row r="38" spans="1:8">
      <c r="A38" t="s">
        <v>101</v>
      </c>
      <c r="B38" s="1" t="s">
        <v>46</v>
      </c>
      <c r="C38" s="1" t="s">
        <v>102</v>
      </c>
      <c r="D38" s="1" t="s">
        <v>107</v>
      </c>
      <c r="E38" t="s">
        <v>103</v>
      </c>
      <c r="F38" s="4">
        <v>43920</v>
      </c>
      <c r="G38" t="s">
        <v>105</v>
      </c>
      <c r="H38" t="s">
        <v>85</v>
      </c>
    </row>
    <row r="39" spans="1:8">
      <c r="A39" t="s">
        <v>101</v>
      </c>
      <c r="B39" s="1" t="s">
        <v>47</v>
      </c>
      <c r="C39" s="1" t="s">
        <v>102</v>
      </c>
      <c r="D39" s="1" t="s">
        <v>107</v>
      </c>
      <c r="E39" t="s">
        <v>103</v>
      </c>
      <c r="F39" s="4">
        <v>43920</v>
      </c>
      <c r="G39" t="s">
        <v>105</v>
      </c>
      <c r="H39" t="s">
        <v>85</v>
      </c>
    </row>
    <row r="40" spans="1:8">
      <c r="A40" t="s">
        <v>101</v>
      </c>
      <c r="B40" s="1" t="s">
        <v>48</v>
      </c>
      <c r="C40" s="1" t="s">
        <v>102</v>
      </c>
      <c r="D40" s="1" t="s">
        <v>107</v>
      </c>
      <c r="E40" t="s">
        <v>103</v>
      </c>
      <c r="F40" s="4">
        <v>43920</v>
      </c>
      <c r="G40" t="s">
        <v>105</v>
      </c>
      <c r="H40" t="s">
        <v>85</v>
      </c>
    </row>
    <row r="41" spans="1:8">
      <c r="A41" t="s">
        <v>101</v>
      </c>
      <c r="B41" s="1" t="s">
        <v>49</v>
      </c>
      <c r="C41" s="1" t="s">
        <v>102</v>
      </c>
      <c r="D41" s="1" t="s">
        <v>107</v>
      </c>
      <c r="E41" t="s">
        <v>103</v>
      </c>
      <c r="F41" s="4">
        <v>43920</v>
      </c>
      <c r="G41" t="s">
        <v>105</v>
      </c>
      <c r="H41" t="s">
        <v>85</v>
      </c>
    </row>
    <row r="42" spans="1:8">
      <c r="A42" t="s">
        <v>101</v>
      </c>
      <c r="B42" s="1" t="s">
        <v>51</v>
      </c>
      <c r="C42" s="1" t="s">
        <v>102</v>
      </c>
      <c r="D42" s="1" t="s">
        <v>106</v>
      </c>
      <c r="E42" t="s">
        <v>103</v>
      </c>
      <c r="F42" s="4">
        <v>44244</v>
      </c>
      <c r="G42" t="s">
        <v>105</v>
      </c>
      <c r="H42" t="s">
        <v>87</v>
      </c>
    </row>
    <row r="43" spans="1:8">
      <c r="A43" t="s">
        <v>101</v>
      </c>
      <c r="B43" s="1" t="s">
        <v>52</v>
      </c>
      <c r="C43" s="1" t="s">
        <v>102</v>
      </c>
      <c r="D43" s="1" t="s">
        <v>106</v>
      </c>
      <c r="E43" t="s">
        <v>103</v>
      </c>
      <c r="F43" s="4">
        <v>44244</v>
      </c>
      <c r="G43" t="s">
        <v>105</v>
      </c>
      <c r="H43" t="s">
        <v>87</v>
      </c>
    </row>
    <row r="44" spans="1:8">
      <c r="A44" t="s">
        <v>101</v>
      </c>
      <c r="B44" s="1" t="s">
        <v>53</v>
      </c>
      <c r="C44" s="1" t="s">
        <v>102</v>
      </c>
      <c r="D44" s="1" t="s">
        <v>106</v>
      </c>
      <c r="E44" t="s">
        <v>103</v>
      </c>
      <c r="F44" s="4">
        <v>44244</v>
      </c>
      <c r="G44" t="s">
        <v>105</v>
      </c>
      <c r="H44" t="s">
        <v>87</v>
      </c>
    </row>
    <row r="45" spans="1:8">
      <c r="A45" t="s">
        <v>101</v>
      </c>
      <c r="B45" s="1" t="s">
        <v>54</v>
      </c>
      <c r="C45" s="1" t="s">
        <v>102</v>
      </c>
      <c r="D45" s="1" t="s">
        <v>106</v>
      </c>
      <c r="E45" t="s">
        <v>103</v>
      </c>
      <c r="F45" s="4">
        <v>44244</v>
      </c>
      <c r="G45" t="s">
        <v>105</v>
      </c>
      <c r="H45" t="s">
        <v>87</v>
      </c>
    </row>
    <row r="46" spans="1:8">
      <c r="A46" t="s">
        <v>101</v>
      </c>
      <c r="B46" s="1" t="s">
        <v>64</v>
      </c>
      <c r="C46" s="1" t="s">
        <v>102</v>
      </c>
      <c r="D46" s="1" t="s">
        <v>10</v>
      </c>
      <c r="E46" t="s">
        <v>103</v>
      </c>
      <c r="F46" s="4">
        <v>44552</v>
      </c>
      <c r="G46" t="s">
        <v>105</v>
      </c>
      <c r="H46" t="s">
        <v>91</v>
      </c>
    </row>
    <row r="47" spans="1:8">
      <c r="A47" t="s">
        <v>101</v>
      </c>
      <c r="B47" s="1" t="s">
        <v>65</v>
      </c>
      <c r="C47" s="1" t="s">
        <v>102</v>
      </c>
      <c r="D47" s="1" t="s">
        <v>10</v>
      </c>
      <c r="E47" t="s">
        <v>103</v>
      </c>
      <c r="F47" s="4">
        <v>44552</v>
      </c>
      <c r="G47" t="s">
        <v>105</v>
      </c>
      <c r="H47" t="s">
        <v>91</v>
      </c>
    </row>
    <row r="48" spans="1:8">
      <c r="A48" t="s">
        <v>101</v>
      </c>
      <c r="B48" s="1" t="s">
        <v>67</v>
      </c>
      <c r="C48" s="1" t="s">
        <v>102</v>
      </c>
      <c r="D48" s="1" t="s">
        <v>10</v>
      </c>
      <c r="E48" t="s">
        <v>103</v>
      </c>
      <c r="F48" s="4">
        <v>43920</v>
      </c>
      <c r="G48" t="s">
        <v>105</v>
      </c>
      <c r="H48" t="s">
        <v>87</v>
      </c>
    </row>
    <row r="49" spans="1:8">
      <c r="A49" t="s">
        <v>101</v>
      </c>
      <c r="B49" s="1" t="s">
        <v>68</v>
      </c>
      <c r="C49" s="1" t="s">
        <v>102</v>
      </c>
      <c r="D49" s="1" t="s">
        <v>10</v>
      </c>
      <c r="E49" t="s">
        <v>103</v>
      </c>
      <c r="F49" s="4">
        <v>44664</v>
      </c>
      <c r="G49" t="s">
        <v>105</v>
      </c>
      <c r="H49" t="s">
        <v>83</v>
      </c>
    </row>
    <row r="50" spans="1:8">
      <c r="A50" t="s">
        <v>101</v>
      </c>
      <c r="B50" s="1" t="s">
        <v>69</v>
      </c>
      <c r="C50" s="1" t="s">
        <v>102</v>
      </c>
      <c r="D50" s="1" t="s">
        <v>10</v>
      </c>
      <c r="E50" t="s">
        <v>103</v>
      </c>
      <c r="F50" s="4">
        <v>43920</v>
      </c>
      <c r="G50" t="s">
        <v>105</v>
      </c>
      <c r="H50" t="s">
        <v>83</v>
      </c>
    </row>
    <row r="51" spans="1:8">
      <c r="A51" t="s">
        <v>101</v>
      </c>
      <c r="B51" s="1" t="s">
        <v>70</v>
      </c>
      <c r="C51" s="1" t="s">
        <v>102</v>
      </c>
      <c r="D51" s="1" t="s">
        <v>10</v>
      </c>
      <c r="E51" t="s">
        <v>103</v>
      </c>
      <c r="F51" s="4">
        <v>44664</v>
      </c>
      <c r="G51" t="s">
        <v>105</v>
      </c>
      <c r="H51" t="s">
        <v>83</v>
      </c>
    </row>
    <row r="52" spans="1:8">
      <c r="A52" t="s">
        <v>101</v>
      </c>
      <c r="B52" s="1" t="s">
        <v>116</v>
      </c>
      <c r="C52" s="1" t="s">
        <v>102</v>
      </c>
      <c r="D52" s="1" t="s">
        <v>106</v>
      </c>
      <c r="E52" t="s">
        <v>103</v>
      </c>
      <c r="F52" s="4">
        <v>43987</v>
      </c>
      <c r="G52" t="s">
        <v>105</v>
      </c>
      <c r="H52" t="s">
        <v>83</v>
      </c>
    </row>
    <row r="53" spans="1:8">
      <c r="A53" t="s">
        <v>101</v>
      </c>
      <c r="B53" s="1" t="s">
        <v>72</v>
      </c>
      <c r="C53" s="1" t="s">
        <v>102</v>
      </c>
      <c r="D53" s="1" t="s">
        <v>106</v>
      </c>
      <c r="E53" t="s">
        <v>103</v>
      </c>
      <c r="F53" s="4">
        <v>44489</v>
      </c>
      <c r="G53" t="s">
        <v>105</v>
      </c>
      <c r="H53" t="s">
        <v>83</v>
      </c>
    </row>
    <row r="54" spans="1:8">
      <c r="A54" t="s">
        <v>73</v>
      </c>
      <c r="F54" s="3"/>
      <c r="H54">
        <f>SUBTOTAL(103,Table14[PDM])</f>
        <v>52</v>
      </c>
    </row>
  </sheetData>
  <pageMargins left="0.75" right="0.75" top="1" bottom="1" header="0.5" footer="0.5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7820FF-AE3A-4D0F-ACB4-95522707C5C2}"/>
</file>

<file path=customXml/itemProps2.xml><?xml version="1.0" encoding="utf-8"?>
<ds:datastoreItem xmlns:ds="http://schemas.openxmlformats.org/officeDocument/2006/customXml" ds:itemID="{A77A459C-0C31-4C8A-BAD2-F23199E7E57C}"/>
</file>

<file path=customXml/itemProps3.xml><?xml version="1.0" encoding="utf-8"?>
<ds:datastoreItem xmlns:ds="http://schemas.openxmlformats.org/officeDocument/2006/customXml" ds:itemID="{D22EB6B2-E858-47F1-B8B3-04BFCD7231F0}"/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Deb, Dipsha</cp:lastModifiedBy>
  <cp:revision>1</cp:revision>
  <dcterms:created xsi:type="dcterms:W3CDTF">2025-10-28T18:00:09Z</dcterms:created>
  <dcterms:modified xsi:type="dcterms:W3CDTF">2026-05-18T09:28:47Z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